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wells01\Documents\EE_DVcalc\EE_DVcalc\xlsx\"/>
    </mc:Choice>
  </mc:AlternateContent>
  <xr:revisionPtr revIDLastSave="0" documentId="13_ncr:1_{A9700041-1C98-4AAF-9E67-727EBA93DD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ign_Value" sheetId="6" r:id="rId1"/>
    <sheet name="Daily_Year1" sheetId="3" r:id="rId2"/>
    <sheet name="Daily_Year2" sheetId="4" r:id="rId3"/>
    <sheet name="Daily_Yea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6" l="1"/>
  <c r="B16" i="6"/>
  <c r="B15" i="6"/>
  <c r="I26" i="6"/>
  <c r="I25" i="6"/>
  <c r="I24" i="6"/>
  <c r="I23" i="6"/>
  <c r="I22" i="6"/>
  <c r="I21" i="6"/>
  <c r="I20" i="6"/>
  <c r="I19" i="6"/>
  <c r="I18" i="6"/>
  <c r="I17" i="6"/>
  <c r="I16" i="6"/>
  <c r="I15" i="6"/>
  <c r="K12" i="6" a="1"/>
  <c r="K12" i="6" s="1"/>
  <c r="K11" i="6" a="1"/>
  <c r="K11" i="6" s="1"/>
  <c r="K10" i="6" a="1"/>
  <c r="K10" i="6" s="1"/>
  <c r="K9" i="6" a="1"/>
  <c r="K9" i="6" s="1"/>
  <c r="K8" i="6" a="1"/>
  <c r="K8" i="6" s="1"/>
  <c r="K7" i="6" a="1"/>
  <c r="K7" i="6" s="1"/>
  <c r="K6" i="6" a="1"/>
  <c r="K6" i="6" s="1"/>
  <c r="K5" i="6" a="1"/>
  <c r="K5" i="6" s="1"/>
  <c r="K4" i="6" a="1"/>
  <c r="K4" i="6" s="1"/>
  <c r="J12" i="6" a="1"/>
  <c r="J12" i="6" s="1"/>
  <c r="J11" i="6" a="1"/>
  <c r="J11" i="6" s="1"/>
  <c r="J10" i="6" a="1"/>
  <c r="J10" i="6" s="1"/>
  <c r="J9" i="6" a="1"/>
  <c r="J9" i="6" s="1"/>
  <c r="J8" i="6" a="1"/>
  <c r="J8" i="6" s="1"/>
  <c r="J7" i="6" a="1"/>
  <c r="J7" i="6" s="1"/>
  <c r="J6" i="6" a="1"/>
  <c r="J6" i="6" s="1"/>
  <c r="J5" i="6" a="1"/>
  <c r="J5" i="6" s="1"/>
  <c r="J4" i="6" a="1"/>
  <c r="J4" i="6" s="1"/>
  <c r="I12" i="6" a="1"/>
  <c r="I12" i="6" s="1"/>
  <c r="I11" i="6" a="1"/>
  <c r="I11" i="6" s="1"/>
  <c r="I10" i="6" a="1"/>
  <c r="I10" i="6" s="1"/>
  <c r="I9" i="6" a="1"/>
  <c r="I9" i="6" s="1"/>
  <c r="I8" i="6" a="1"/>
  <c r="I8" i="6" s="1"/>
  <c r="I7" i="6" a="1"/>
  <c r="I7" i="6" s="1"/>
  <c r="I6" i="6" a="1"/>
  <c r="I6" i="6" s="1"/>
  <c r="I5" i="6" a="1"/>
  <c r="I5" i="6" s="1"/>
  <c r="I4" i="6" a="1"/>
  <c r="I4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H4" i="6" a="1"/>
  <c r="H4" i="6" s="1"/>
  <c r="G12" i="6" a="1"/>
  <c r="G12" i="6" s="1"/>
  <c r="G11" i="6" a="1"/>
  <c r="G11" i="6" s="1"/>
  <c r="G10" i="6" a="1"/>
  <c r="G10" i="6" s="1"/>
  <c r="G9" i="6" a="1"/>
  <c r="G9" i="6" s="1"/>
  <c r="G8" i="6" a="1"/>
  <c r="G8" i="6" s="1"/>
  <c r="G7" i="6" a="1"/>
  <c r="G7" i="6" s="1"/>
  <c r="G6" i="6" a="1"/>
  <c r="G6" i="6" s="1"/>
  <c r="G5" i="6" a="1"/>
  <c r="G5" i="6" s="1"/>
  <c r="G4" i="6" a="1"/>
  <c r="G4" i="6" s="1"/>
  <c r="F12" i="6" a="1"/>
  <c r="F12" i="6" s="1"/>
  <c r="F11" i="6" a="1"/>
  <c r="F11" i="6" s="1"/>
  <c r="F10" i="6" a="1"/>
  <c r="F10" i="6" s="1"/>
  <c r="F9" i="6" a="1"/>
  <c r="F9" i="6" s="1"/>
  <c r="F8" i="6" a="1"/>
  <c r="F8" i="6" s="1"/>
  <c r="F7" i="6" a="1"/>
  <c r="F7" i="6" s="1"/>
  <c r="F6" i="6" a="1"/>
  <c r="F6" i="6" s="1"/>
  <c r="F5" i="6" a="1"/>
  <c r="F5" i="6" s="1"/>
  <c r="F3" i="6" a="1"/>
  <c r="F3" i="6" s="1"/>
  <c r="G3" i="6" a="1"/>
  <c r="G3" i="6" s="1"/>
  <c r="H3" i="6" a="1"/>
  <c r="H3" i="6" s="1"/>
  <c r="I3" i="6" a="1"/>
  <c r="I3" i="6" s="1"/>
  <c r="J3" i="6" a="1"/>
  <c r="J3" i="6" s="1"/>
  <c r="K3" i="6" a="1"/>
  <c r="K3" i="6" s="1"/>
  <c r="F4" i="6" a="1"/>
  <c r="F4" i="6" s="1"/>
  <c r="C11" i="6"/>
  <c r="C17" i="6" a="1"/>
  <c r="C17" i="6" s="1"/>
  <c r="C16" i="6" a="1"/>
  <c r="C16" i="6" s="1"/>
  <c r="C15" i="6" a="1"/>
  <c r="C15" i="6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2" i="4"/>
  <c r="F17" i="6" l="1"/>
  <c r="F16" i="6"/>
  <c r="F15" i="6"/>
  <c r="E17" i="6"/>
  <c r="E16" i="6"/>
  <c r="E15" i="6"/>
  <c r="D17" i="6"/>
  <c r="D16" i="6"/>
  <c r="D15" i="6"/>
  <c r="H25" i="6"/>
  <c r="H26" i="6"/>
  <c r="H24" i="6"/>
  <c r="H23" i="6"/>
  <c r="H22" i="6"/>
  <c r="H21" i="6"/>
  <c r="H20" i="6"/>
  <c r="H19" i="6"/>
  <c r="H18" i="6"/>
  <c r="H17" i="6"/>
  <c r="H16" i="6"/>
  <c r="H15" i="6"/>
  <c r="K2" i="6"/>
  <c r="H2" i="6"/>
  <c r="J2" i="6"/>
  <c r="G2" i="6"/>
  <c r="I2" i="6"/>
  <c r="F2" i="6"/>
  <c r="C9" i="6" l="1"/>
  <c r="A17" i="6"/>
  <c r="A16" i="6"/>
  <c r="A15" i="6"/>
  <c r="C8" i="6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<sst xmlns="http://schemas.openxmlformats.org/spreadsheetml/2006/main" count="51" uniqueCount="40">
  <si>
    <t>Date</t>
  </si>
  <si>
    <t>Exceptional Event Qualifiers</t>
  </si>
  <si>
    <t>Year</t>
  </si>
  <si>
    <t>% Complete</t>
  </si>
  <si>
    <t>Date of Highest Values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</si>
  <si>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</si>
  <si>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</si>
  <si>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</si>
  <si>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</si>
  <si>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</si>
  <si>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</si>
  <si>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</si>
  <si>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</si>
  <si>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</si>
  <si>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</si>
  <si>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AQS Site ID:</t>
  </si>
  <si>
    <t>Site Name:</t>
  </si>
  <si>
    <t>Address:</t>
  </si>
  <si>
    <t>EPA Region:</t>
  </si>
  <si>
    <t>State Name:</t>
  </si>
  <si>
    <t>County Name:</t>
  </si>
  <si>
    <t>Design Value Years:</t>
  </si>
  <si>
    <t>Pollutant:</t>
  </si>
  <si>
    <t>Rank</t>
  </si>
  <si>
    <t>Quarter</t>
  </si>
  <si>
    <r>
      <t>Daily Average Concentration (</t>
    </r>
    <r>
      <rPr>
        <b/>
        <sz val="11"/>
        <color theme="1"/>
        <rFont val="Calibri"/>
        <family val="2"/>
      </rPr>
      <t>μg/m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  <scheme val="minor"/>
      </rPr>
      <t>)</t>
    </r>
  </si>
  <si>
    <t>Daily Average Concentration Rank</t>
  </si>
  <si>
    <t>PM2.5 (88101)</t>
  </si>
  <si>
    <r>
      <t>Top 10 Highest Annual Values (μg/m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</si>
  <si>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Annual DV Validity:</t>
  </si>
  <si>
    <t>24-hour DV Validity:</t>
  </si>
  <si>
    <r>
      <t>Annual Design Value (μg/m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):</t>
    </r>
  </si>
  <si>
    <r>
      <t>24-hour Design Value (μg/m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):</t>
    </r>
  </si>
  <si>
    <r>
      <t>Annual Mean Value (μg/m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</si>
  <si>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Annual 98th Percentile Value (μg/m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</si>
  <si>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# Creditable Samples</t>
  </si>
  <si>
    <t>98th Percentile Rank</t>
  </si>
  <si>
    <t># Complete Quarters</t>
  </si>
  <si>
    <r>
      <t>Quarterly Mean Value (μg/m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</si>
  <si>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Year-Quarter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</si>
</sst>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EC91-7A8D-484B-8835-39D870E7CF97}">
  <dimension ref="A1:K26"/>
  <sheetViews>
    <sheetView tabSelected="1" workbookViewId="0"/>
  </sheetViews>
  <sheetFormatPr defaultRowHeight="14.4" x14ac:dyDescent="0.3"/>
  <cols>
    <col min="1" max="3" width="12.77734375" customWidth="1"/>
    <col min="4" max="8" width="10.77734375" customWidth="1"/>
    <col min="9" max="11" width="12.77734375" customWidth="1"/>
  </cols>
  <sheetData>
    <row r="1" spans="1:11" ht="16.05" customHeight="1" x14ac:dyDescent="0.3">
      <c r="A1" s="1" t="s">
        <v>22</v>
      </c>
      <c r="B1" t="s">
        <v>27</v>
      </c>
      <c r="F1" s="11" t="s">
        <v>28</v>
      </c>
      <c r="G1" s="12"/>
      <c r="H1" s="12"/>
      <c r="I1" s="11" t="s">
        <v>4</v>
      </c>
      <c r="J1" s="12"/>
      <c r="K1" s="12"/>
    </row>
    <row r="2" spans="1:11" ht="16.05" customHeight="1" x14ac:dyDescent="0.3">
      <c r="A2" s="1" t="s">
        <v>15</v>
      </c>
      <c r="E2" s="4" t="s">
        <v>23</v>
      </c>
      <c r="F2" s="4" t="str">
        <f>LEFT(Daily_Year1!A2,4)</f>
        <v/>
      </c>
      <c r="G2" s="4" t="str">
        <f>LEFT(Daily_Year2!A2,4)</f>
        <v/>
      </c>
      <c r="H2" s="4" t="str">
        <f>LEFT(Daily_Year3!A2,4)</f>
        <v/>
      </c>
      <c r="I2" s="4" t="str">
        <f>LEFT(Daily_Year1!A2,4)</f>
        <v/>
      </c>
      <c r="J2" s="4" t="str">
        <f>LEFT(Daily_Year2!A2,4)</f>
        <v/>
      </c>
      <c r="K2" s="4" t="str">
        <f>LEFT(Daily_Year3!A2,4)</f>
        <v/>
      </c>
    </row>
    <row r="3" spans="1:11" ht="16.05" customHeight="1" x14ac:dyDescent="0.3">
      <c r="A3" s="1" t="s">
        <v>16</v>
      </c>
      <c r="E3" s="3" t="s">
        <v>5</v>
      </c>
      <c r="F3" s="7" t="str" cm="1">
        <f t="array" ref="F3">IFERROR(INDEX(Daily_Year1!C$2:C$367,_xlfn.XMATCH(1,Daily_Year1!E$2:E$367)),"")</f>
        <v/>
      </c>
      <c r="G3" s="7" t="str" cm="1">
        <f t="array" ref="G3">IFERROR(INDEX(Daily_Year2!C$2:C$367,_xlfn.XMATCH(1,Daily_Year2!E$2:E$367)),"")</f>
        <v/>
      </c>
      <c r="H3" s="7" t="str" cm="1">
        <f t="array" ref="H3">IFERROR(INDEX(Daily_Year3!C$2:C$367,_xlfn.XMATCH(1,Daily_Year3!E$2:E$367)),"")</f>
        <v/>
      </c>
      <c r="I3" s="6" t="str" cm="1">
        <f t="array" ref="I3">IFERROR(INDEX(Daily_Year1!A$2:A$367,_xlfn.XMATCH(1,Daily_Year1!E$2:E$367)),"")</f>
        <v/>
      </c>
      <c r="J3" s="6" t="str" cm="1">
        <f t="array" ref="J3">IFERROR(INDEX(Daily_Year2!A$2:A$367,_xlfn.XMATCH(1,Daily_Year2!E$2:E$367)),"")</f>
        <v/>
      </c>
      <c r="K3" s="6" t="str" cm="1">
        <f t="array" ref="K3">IFERROR(INDEX(Daily_Year3!A$2:A$367,_xlfn.XMATCH(1,Daily_Year3!E$2:E$367)),"")</f>
        <v/>
      </c>
    </row>
    <row r="4" spans="1:11" ht="16.05" customHeight="1" x14ac:dyDescent="0.3">
      <c r="A4" s="1" t="s">
        <v>17</v>
      </c>
      <c r="E4" s="3" t="s">
        <v>6</v>
      </c>
      <c r="F4" s="7" t="str" cm="1">
        <f t="array" ref="F4">IFERROR(INDEX(Daily_Year1!C$2:C$367,_xlfn.XMATCH(2,Daily_Year1!E$2:E$367)),"")</f>
        <v/>
      </c>
      <c r="G4" s="7" t="str" cm="1">
        <f t="array" ref="G4">IFERROR(INDEX(Daily_Year2!C$2:C$367,_xlfn.XMATCH(2,Daily_Year2!E$2:E$367)),"")</f>
        <v/>
      </c>
      <c r="H4" s="7" t="str" cm="1">
        <f t="array" ref="H4">IFERROR(INDEX(Daily_Year3!C$2:C$367,_xlfn.XMATCH(2,Daily_Year3!E$2:E$367)),"")</f>
        <v/>
      </c>
      <c r="I4" s="6" t="str" cm="1">
        <f t="array" ref="I4">IFERROR(INDEX(Daily_Year1!A$2:A$367,_xlfn.XMATCH(2,Daily_Year1!E$2:E$367)),"")</f>
        <v/>
      </c>
      <c r="J4" s="6" t="str" cm="1">
        <f t="array" ref="J4">IFERROR(INDEX(Daily_Year2!A$2:A$367,_xlfn.XMATCH(2,Daily_Year2!E$2:E$367)),"")</f>
        <v/>
      </c>
      <c r="K4" s="6" t="str" cm="1">
        <f t="array" ref="K4">IFERROR(INDEX(Daily_Year3!A$2:A$367,_xlfn.XMATCH(2,Daily_Year3!E$2:E$367)),"")</f>
        <v/>
      </c>
    </row>
    <row r="5" spans="1:11" ht="16.05" customHeight="1" x14ac:dyDescent="0.3">
      <c r="A5" s="1" t="s">
        <v>18</v>
      </c>
      <c r="E5" s="3" t="s">
        <v>7</v>
      </c>
      <c r="F5" s="7" t="str" cm="1">
        <f t="array" ref="F5">IFERROR(INDEX(Daily_Year1!C$2:C$367,_xlfn.XMATCH(3,Daily_Year1!E$2:E$367)),"")</f>
        <v/>
      </c>
      <c r="G5" s="7" t="str" cm="1">
        <f t="array" ref="G5">IFERROR(INDEX(Daily_Year2!C$2:C$367,_xlfn.XMATCH(3,Daily_Year2!E$2:E$367)),"")</f>
        <v/>
      </c>
      <c r="H5" s="7" t="str" cm="1">
        <f t="array" ref="H5">IFERROR(INDEX(Daily_Year3!C$2:C$367,_xlfn.XMATCH(3,Daily_Year3!E$2:E$367)),"")</f>
        <v/>
      </c>
      <c r="I5" s="6" t="str" cm="1">
        <f t="array" ref="I5">IFERROR(INDEX(Daily_Year1!A$2:A$367,_xlfn.XMATCH(3,Daily_Year1!E$2:E$367)),"")</f>
        <v/>
      </c>
      <c r="J5" s="6" t="str" cm="1">
        <f t="array" ref="J5">IFERROR(INDEX(Daily_Year2!A$2:A$367,_xlfn.XMATCH(3,Daily_Year2!E$2:E$367)),"")</f>
        <v/>
      </c>
      <c r="K5" s="6" t="str" cm="1">
        <f t="array" ref="K5">IFERROR(INDEX(Daily_Year3!A$2:A$367,_xlfn.XMATCH(3,Daily_Year3!E$2:E$367)),"")</f>
        <v/>
      </c>
    </row>
    <row r="6" spans="1:11" ht="16.05" customHeight="1" x14ac:dyDescent="0.3">
      <c r="A6" s="1" t="s">
        <v>19</v>
      </c>
      <c r="E6" s="3" t="s">
        <v>8</v>
      </c>
      <c r="F6" s="7" t="str" cm="1">
        <f t="array" ref="F6">IFERROR(INDEX(Daily_Year1!C$2:C$367,_xlfn.XMATCH(4,Daily_Year1!E$2:E$367)),"")</f>
        <v/>
      </c>
      <c r="G6" s="7" t="str" cm="1">
        <f t="array" ref="G6">IFERROR(INDEX(Daily_Year2!C$2:C$367,_xlfn.XMATCH(4,Daily_Year2!E$2:E$367)),"")</f>
        <v/>
      </c>
      <c r="H6" s="7" t="str" cm="1">
        <f t="array" ref="H6">IFERROR(INDEX(Daily_Year3!C$2:C$367,_xlfn.XMATCH(4,Daily_Year3!E$2:E$367)),"")</f>
        <v/>
      </c>
      <c r="I6" s="6" t="str" cm="1">
        <f t="array" ref="I6">IFERROR(INDEX(Daily_Year1!A$2:A$367,_xlfn.XMATCH(4,Daily_Year1!E$2:E$367)),"")</f>
        <v/>
      </c>
      <c r="J6" s="6" t="str" cm="1">
        <f t="array" ref="J6">IFERROR(INDEX(Daily_Year2!A$2:A$367,_xlfn.XMATCH(4,Daily_Year2!E$2:E$367)),"")</f>
        <v/>
      </c>
      <c r="K6" s="6" t="str" cm="1">
        <f t="array" ref="K6">IFERROR(INDEX(Daily_Year3!A$2:A$367,_xlfn.XMATCH(4,Daily_Year3!E$2:E$367)),"")</f>
        <v/>
      </c>
    </row>
    <row r="7" spans="1:11" ht="16.05" customHeight="1" x14ac:dyDescent="0.3">
      <c r="A7" s="1" t="s">
        <v>20</v>
      </c>
      <c r="E7" s="3" t="s">
        <v>9</v>
      </c>
      <c r="F7" s="7" t="str" cm="1">
        <f t="array" ref="F7">IFERROR(INDEX(Daily_Year1!C$2:C$367,_xlfn.XMATCH(5,Daily_Year1!E$2:E$367)),"")</f>
        <v/>
      </c>
      <c r="G7" s="7" t="str" cm="1">
        <f t="array" ref="G7">IFERROR(INDEX(Daily_Year2!C$2:C$367,_xlfn.XMATCH(5,Daily_Year2!E$2:E$367)),"")</f>
        <v/>
      </c>
      <c r="H7" s="7" t="str" cm="1">
        <f t="array" ref="H7">IFERROR(INDEX(Daily_Year3!C$2:C$367,_xlfn.XMATCH(5,Daily_Year3!E$2:E$367)),"")</f>
        <v/>
      </c>
      <c r="I7" s="6" t="str" cm="1">
        <f t="array" ref="I7">IFERROR(INDEX(Daily_Year1!A$2:A$367,_xlfn.XMATCH(5,Daily_Year1!E$2:E$367)),"")</f>
        <v/>
      </c>
      <c r="J7" s="6" t="str" cm="1">
        <f t="array" ref="J7">IFERROR(INDEX(Daily_Year2!A$2:A$367,_xlfn.XMATCH(5,Daily_Year2!E$2:E$367)),"")</f>
        <v/>
      </c>
      <c r="K7" s="6" t="str" cm="1">
        <f t="array" ref="K7">IFERROR(INDEX(Daily_Year3!A$2:A$367,_xlfn.XMATCH(5,Daily_Year3!E$2:E$367)),"")</f>
        <v/>
      </c>
    </row>
    <row r="8" spans="1:11" ht="16.05" customHeight="1" x14ac:dyDescent="0.3">
      <c r="A8" s="1" t="s">
        <v>21</v>
      </c>
      <c r="C8" s="5" t="str">
        <f>CONCATENATE(A15,"-",A17)</f>
        <v>-</v>
      </c>
      <c r="E8" s="3" t="s">
        <v>10</v>
      </c>
      <c r="F8" s="7" t="str" cm="1">
        <f t="array" ref="F8">IFERROR(INDEX(Daily_Year1!C$2:C$367,_xlfn.XMATCH(6,Daily_Year1!E$2:E$367)),"")</f>
        <v/>
      </c>
      <c r="G8" s="7" t="str" cm="1">
        <f t="array" ref="G8">IFERROR(INDEX(Daily_Year2!C$2:C$367,_xlfn.XMATCH(6,Daily_Year2!E$2:E$367)),"")</f>
        <v/>
      </c>
      <c r="H8" s="7" t="str" cm="1">
        <f t="array" ref="H8">IFERROR(INDEX(Daily_Year3!C$2:C$367,_xlfn.XMATCH(6,Daily_Year3!E$2:E$367)),"")</f>
        <v/>
      </c>
      <c r="I8" s="6" t="str" cm="1">
        <f t="array" ref="I8">IFERROR(INDEX(Daily_Year1!A$2:A$367,_xlfn.XMATCH(6,Daily_Year1!E$2:E$367)),"")</f>
        <v/>
      </c>
      <c r="J8" s="6" t="str" cm="1">
        <f t="array" ref="J8">IFERROR(INDEX(Daily_Year2!A$2:A$367,_xlfn.XMATCH(6,Daily_Year2!E$2:E$367)),"")</f>
        <v/>
      </c>
      <c r="K8" s="6" t="str" cm="1">
        <f t="array" ref="K8">IFERROR(INDEX(Daily_Year3!A$2:A$367,_xlfn.XMATCH(6,Daily_Year3!E$2:E$367)),"")</f>
        <v/>
      </c>
    </row>
    <row r="9" spans="1:11" ht="16.05" customHeight="1" x14ac:dyDescent="0.3">
      <c r="A9" s="1" t="s">
        <v>31</v>
      </c>
      <c r="C9" s="7" t="str">
        <f>IF(AND(B15 = "",B16 = "",B17 = ""),"",ROUND(AVERAGE(B15:B17),1))</f>
        <v/>
      </c>
      <c r="E9" s="3" t="s">
        <v>11</v>
      </c>
      <c r="F9" s="7" t="str" cm="1">
        <f t="array" ref="F9">IFERROR(INDEX(Daily_Year1!C$2:C$367,_xlfn.XMATCH(7,Daily_Year1!E$2:E$367)),"")</f>
        <v/>
      </c>
      <c r="G9" s="7" t="str" cm="1">
        <f t="array" ref="G9">IFERROR(INDEX(Daily_Year2!C$2:C$367,_xlfn.XMATCH(7,Daily_Year2!E$2:E$367)),"")</f>
        <v/>
      </c>
      <c r="H9" s="7" t="str" cm="1">
        <f t="array" ref="H9">IFERROR(INDEX(Daily_Year3!C$2:C$367,_xlfn.XMATCH(7,Daily_Year3!E$2:E$367)),"")</f>
        <v/>
      </c>
      <c r="I9" s="6" t="str" cm="1">
        <f t="array" ref="I9">IFERROR(INDEX(Daily_Year1!A$2:A$367,_xlfn.XMATCH(7,Daily_Year1!E$2:E$367)),"")</f>
        <v/>
      </c>
      <c r="J9" s="6" t="str" cm="1">
        <f t="array" ref="J9">IFERROR(INDEX(Daily_Year2!A$2:A$367,_xlfn.XMATCH(7,Daily_Year2!E$2:E$367)),"")</f>
        <v/>
      </c>
      <c r="K9" s="6" t="str" cm="1">
        <f t="array" ref="K9">IFERROR(INDEX(Daily_Year3!A$2:A$367,_xlfn.XMATCH(7,Daily_Year3!E$2:E$367)),"")</f>
        <v/>
      </c>
    </row>
    <row r="10" spans="1:11" ht="16.05" customHeight="1" x14ac:dyDescent="0.3">
      <c r="A10" s="1" t="s">
        <v>29</v>
      </c>
      <c r="C10" s="5"/>
      <c r="E10" s="3" t="s">
        <v>12</v>
      </c>
      <c r="F10" s="7" t="str" cm="1">
        <f t="array" ref="F10">IFERROR(INDEX(Daily_Year1!C$2:C$367,_xlfn.XMATCH(8,Daily_Year1!E$2:E$367)),"")</f>
        <v/>
      </c>
      <c r="G10" s="7" t="str" cm="1">
        <f t="array" ref="G10">IFERROR(INDEX(Daily_Year2!C$2:C$367,_xlfn.XMATCH(8,Daily_Year2!E$2:E$367)),"")</f>
        <v/>
      </c>
      <c r="H10" s="7" t="str" cm="1">
        <f t="array" ref="H10">IFERROR(INDEX(Daily_Year3!C$2:C$367,_xlfn.XMATCH(8,Daily_Year3!E$2:E$367)),"")</f>
        <v/>
      </c>
      <c r="I10" s="6" t="str" cm="1">
        <f t="array" ref="I10">IFERROR(INDEX(Daily_Year1!A$2:A$367,_xlfn.XMATCH(8,Daily_Year1!E$2:E$367)),"")</f>
        <v/>
      </c>
      <c r="J10" s="6" t="str" cm="1">
        <f t="array" ref="J10">IFERROR(INDEX(Daily_Year2!A$2:A$367,_xlfn.XMATCH(8,Daily_Year2!E$2:E$367)),"")</f>
        <v/>
      </c>
      <c r="K10" s="6" t="str" cm="1">
        <f t="array" ref="K10">IFERROR(INDEX(Daily_Year3!A$2:A$367,_xlfn.XMATCH(8,Daily_Year3!E$2:E$367)),"")</f>
        <v/>
      </c>
    </row>
    <row r="11" spans="1:11" ht="16.05" customHeight="1" x14ac:dyDescent="0.3">
      <c r="A11" s="1" t="s">
        <v>32</v>
      </c>
      <c r="C11" s="8" t="str">
        <f>IF(AND(C15 = "",C16 = "",C17 = ""),"",ROUND(AVERAGE(C15:C17),0))</f>
        <v/>
      </c>
      <c r="E11" s="3" t="s">
        <v>13</v>
      </c>
      <c r="F11" s="7" t="str" cm="1">
        <f t="array" ref="F11">IFERROR(INDEX(Daily_Year1!C$2:C$367,_xlfn.XMATCH(9,Daily_Year1!E$2:E$367)),"")</f>
        <v/>
      </c>
      <c r="G11" s="7" t="str" cm="1">
        <f t="array" ref="G11">IFERROR(INDEX(Daily_Year2!C$2:C$367,_xlfn.XMATCH(9,Daily_Year2!E$2:E$367)),"")</f>
        <v/>
      </c>
      <c r="H11" s="7" t="str" cm="1">
        <f t="array" ref="H11">IFERROR(INDEX(Daily_Year3!C$2:C$367,_xlfn.XMATCH(9,Daily_Year3!E$2:E$367)),"")</f>
        <v/>
      </c>
      <c r="I11" s="6" t="str" cm="1">
        <f t="array" ref="I11">IFERROR(INDEX(Daily_Year1!A$2:A$367,_xlfn.XMATCH(9,Daily_Year1!E$2:E$367)),"")</f>
        <v/>
      </c>
      <c r="J11" s="6" t="str" cm="1">
        <f t="array" ref="J11">IFERROR(INDEX(Daily_Year2!A$2:A$367,_xlfn.XMATCH(9,Daily_Year2!E$2:E$367)),"")</f>
        <v/>
      </c>
      <c r="K11" s="6" t="str" cm="1">
        <f t="array" ref="K11">IFERROR(INDEX(Daily_Year3!A$2:A$367,_xlfn.XMATCH(9,Daily_Year3!E$2:E$367)),"")</f>
        <v/>
      </c>
    </row>
    <row r="12" spans="1:11" ht="16.05" customHeight="1" x14ac:dyDescent="0.3">
      <c r="A12" s="1" t="s">
        <v>30</v>
      </c>
      <c r="C12" s="5"/>
      <c r="E12" s="3" t="s">
        <v>14</v>
      </c>
      <c r="F12" s="7" t="str" cm="1">
        <f t="array" ref="F12">IFERROR(INDEX(Daily_Year1!C$2:C$367,_xlfn.XMATCH(10,Daily_Year1!E$2:E$367)),"")</f>
        <v/>
      </c>
      <c r="G12" s="7" t="str" cm="1">
        <f t="array" ref="G12">IFERROR(INDEX(Daily_Year2!C$2:C$367,_xlfn.XMATCH(10,Daily_Year2!E$2:E$367)),"")</f>
        <v/>
      </c>
      <c r="H12" s="7" t="str" cm="1">
        <f t="array" ref="H12">IFERROR(INDEX(Daily_Year3!C$2:C$367,_xlfn.XMATCH(10,Daily_Year3!E$2:E$367)),"")</f>
        <v/>
      </c>
      <c r="I12" s="6" t="str" cm="1">
        <f t="array" ref="I12">IFERROR(INDEX(Daily_Year1!A$2:A$367,_xlfn.XMATCH(10,Daily_Year1!E$2:E$367)),"")</f>
        <v/>
      </c>
      <c r="J12" s="6" t="str" cm="1">
        <f t="array" ref="J12">IFERROR(INDEX(Daily_Year2!A$2:A$367,_xlfn.XMATCH(10,Daily_Year2!E$2:E$367)),"")</f>
        <v/>
      </c>
      <c r="K12" s="6" t="str" cm="1">
        <f t="array" ref="K12">IFERROR(INDEX(Daily_Year3!A$2:A$367,_xlfn.XMATCH(10,Daily_Year3!E$2:E$367)),"")</f>
        <v/>
      </c>
    </row>
    <row r="13" spans="1:11" ht="16.05" customHeight="1" x14ac:dyDescent="0.3"/>
    <row r="14" spans="1:11" ht="45" customHeight="1" x14ac:dyDescent="0.3">
      <c r="A14" s="2" t="s">
        <v>2</v>
      </c>
      <c r="B14" s="2" t="s">
        <v>33</v>
      </c>
      <c r="C14" s="2" t="s">
        <v>34</v>
      </c>
      <c r="D14" s="2" t="s">
        <v>37</v>
      </c>
      <c r="E14" s="2" t="s">
        <v>35</v>
      </c>
      <c r="F14" s="2" t="s">
        <v>36</v>
      </c>
      <c r="G14" s="2"/>
      <c r="H14" s="2" t="s">
        <v>39</v>
      </c>
      <c r="I14" s="2" t="s">
        <v>38</v>
      </c>
      <c r="J14" s="2" t="s">
        <v>35</v>
      </c>
      <c r="K14" s="2" t="s">
        <v>3</v>
      </c>
    </row>
    <row r="15" spans="1:11" x14ac:dyDescent="0.3">
      <c r="A15" s="5" t="str">
        <f>LEFT(Daily_Year1!A2,4)</f>
        <v/>
      </c>
      <c r="B15" s="9" t="str">
        <f>IF(AND(I15 = "",I16 = "",I17 = "",I18 = ""),"",AVERAGE(I15:I18))</f>
        <v/>
      </c>
      <c r="C15" s="7" t="str" cm="1">
        <f t="array" ref="C15">IFERROR(INDEX(Daily_Year1!C2:C367,_xlfn.XMATCH(F15,Daily_Year1!E2:E367)),"")</f>
        <v/>
      </c>
      <c r="D15" s="5">
        <f>COUNTIF(K15:K18,"&gt;=75")</f>
        <v>0</v>
      </c>
      <c r="E15" s="5">
        <f>SUM(J15:J18)</f>
        <v>0</v>
      </c>
      <c r="F15" s="5">
        <f>_xlfn.FLOOR.MATH(E15/50)+1</f>
        <v>1</v>
      </c>
      <c r="G15" s="5"/>
      <c r="H15" s="5" t="str">
        <f>CONCATENATE(LEFT(Daily_Year1!A2,4),"-Q1")</f>
        <v>-Q1</v>
      </c>
      <c r="I15" s="9" t="str">
        <f>IF(J15 = 0,"",AVERAGEIF(Daily_Year1!B$2:B$367,1,Daily_Year1!C$2:C$367))</f>
        <v/>
      </c>
      <c r="J15" s="5"/>
      <c r="K15" s="5"/>
    </row>
    <row r="16" spans="1:11" x14ac:dyDescent="0.3">
      <c r="A16" s="5" t="str">
        <f>LEFT(Daily_Year2!A2,4)</f>
        <v/>
      </c>
      <c r="B16" s="9" t="str">
        <f>IF(AND(I19 = "",I20 = "",I21 = "",I22 = ""),"",AVERAGE(I19:I22))</f>
        <v/>
      </c>
      <c r="C16" s="7" t="str" cm="1">
        <f t="array" ref="C16">IFERROR(INDEX(Daily_Year2!C2:C367,_xlfn.XMATCH(F16,Daily_Year2!E2:E367)),"")</f>
        <v/>
      </c>
      <c r="D16" s="5">
        <f>COUNTIF(K19:K22,"&gt;=75")</f>
        <v>0</v>
      </c>
      <c r="E16" s="5">
        <f>SUM(J19:J22)</f>
        <v>0</v>
      </c>
      <c r="F16" s="5">
        <f>_xlfn.FLOOR.MATH(E16/50)+1</f>
        <v>1</v>
      </c>
      <c r="G16" s="5"/>
      <c r="H16" s="5" t="str">
        <f>CONCATENATE(LEFT(Daily_Year1!A2,4),"-Q2")</f>
        <v>-Q2</v>
      </c>
      <c r="I16" s="9" t="str">
        <f>IF(J16 = 0,"",AVERAGEIF(Daily_Year1!B$2:B$367,2,Daily_Year1!C$2:C$367))</f>
        <v/>
      </c>
      <c r="J16" s="5"/>
      <c r="K16" s="5"/>
    </row>
    <row r="17" spans="1:11" x14ac:dyDescent="0.3">
      <c r="A17" s="5" t="str">
        <f>LEFT(Daily_Year3!A2,4)</f>
        <v/>
      </c>
      <c r="B17" s="9" t="str">
        <f>IF(AND(I23 = "",I24 = "",I25 = "",I26 = ""),"",AVERAGE(I23:I26))</f>
        <v/>
      </c>
      <c r="C17" s="7" t="str" cm="1">
        <f t="array" ref="C17">IFERROR(INDEX(Daily_Year3!C2:C367,_xlfn.XMATCH(F17,Daily_Year3!E2:E367)),"")</f>
        <v/>
      </c>
      <c r="D17" s="5">
        <f>COUNTIF(K23:K26,"&gt;=75")</f>
        <v>0</v>
      </c>
      <c r="E17" s="5">
        <f>SUM(J23:J26)</f>
        <v>0</v>
      </c>
      <c r="F17" s="5">
        <f>_xlfn.FLOOR.MATH(E17/50)+1</f>
        <v>1</v>
      </c>
      <c r="G17" s="5"/>
      <c r="H17" s="5" t="str">
        <f>CONCATENATE(LEFT(Daily_Year1!A2,4),"-Q3")</f>
        <v>-Q3</v>
      </c>
      <c r="I17" s="9" t="str">
        <f>IF(J17 = 0,"",AVERAGEIF(Daily_Year1!B$2:B$367,3,Daily_Year1!C$2:C$367))</f>
        <v/>
      </c>
      <c r="J17" s="5"/>
      <c r="K17" s="5"/>
    </row>
    <row r="18" spans="1:11" x14ac:dyDescent="0.3">
      <c r="G18" s="5"/>
      <c r="H18" s="5" t="str">
        <f>CONCATENATE(LEFT(Daily_Year1!A2,4),"-Q4")</f>
        <v>-Q4</v>
      </c>
      <c r="I18" s="9" t="str">
        <f>IF(J18 = 0,"",AVERAGEIF(Daily_Year1!B$2:B$367,4,Daily_Year1!C$2:C$367))</f>
        <v/>
      </c>
      <c r="J18" s="5"/>
      <c r="K18" s="5"/>
    </row>
    <row r="19" spans="1:11" x14ac:dyDescent="0.3">
      <c r="G19" s="5"/>
      <c r="H19" s="5" t="str">
        <f>CONCATENATE(LEFT(Daily_Year2!A2,4),"-Q1")</f>
        <v>-Q1</v>
      </c>
      <c r="I19" s="9" t="str">
        <f>IF(J19 = 0,"",AVERAGEIF(Daily_Year2!B$2:B$367,1,Daily_Year2!C$2:C$367))</f>
        <v/>
      </c>
      <c r="J19" s="5"/>
      <c r="K19" s="5"/>
    </row>
    <row r="20" spans="1:11" x14ac:dyDescent="0.3">
      <c r="G20" s="5"/>
      <c r="H20" s="5" t="str">
        <f>CONCATENATE(LEFT(Daily_Year2!A2,4),"-Q2")</f>
        <v>-Q2</v>
      </c>
      <c r="I20" s="9" t="str">
        <f>IF(J20 = 0,"",AVERAGEIF(Daily_Year2!B$2:B$367,2,Daily_Year2!C$2:C$367))</f>
        <v/>
      </c>
      <c r="J20" s="5"/>
      <c r="K20" s="5"/>
    </row>
    <row r="21" spans="1:11" x14ac:dyDescent="0.3">
      <c r="G21" s="5"/>
      <c r="H21" s="5" t="str">
        <f>CONCATENATE(LEFT(Daily_Year2!A2,4),"-Q3")</f>
        <v>-Q3</v>
      </c>
      <c r="I21" s="9" t="str">
        <f>IF(J21 = 0,"",AVERAGEIF(Daily_Year2!B$2:B$367,3,Daily_Year2!C$2:C$367))</f>
        <v/>
      </c>
      <c r="J21" s="5"/>
      <c r="K21" s="5"/>
    </row>
    <row r="22" spans="1:11" x14ac:dyDescent="0.3">
      <c r="G22" s="5"/>
      <c r="H22" s="5" t="str">
        <f>CONCATENATE(LEFT(Daily_Year2!A2,4),"-Q4")</f>
        <v>-Q4</v>
      </c>
      <c r="I22" s="9" t="str">
        <f>IF(J22 = 0,"",AVERAGEIF(Daily_Year2!B$2:B$367,4,Daily_Year2!C$2:C$367))</f>
        <v/>
      </c>
      <c r="J22" s="5"/>
      <c r="K22" s="5"/>
    </row>
    <row r="23" spans="1:11" x14ac:dyDescent="0.3">
      <c r="G23" s="5"/>
      <c r="H23" s="5" t="str">
        <f>CONCATENATE(LEFT(Daily_Year3!A2,4),"-Q1")</f>
        <v>-Q1</v>
      </c>
      <c r="I23" s="9" t="str">
        <f>IF(J23 = 0,"",AVERAGEIF(Daily_Year3!B$2:B$367,1,Daily_Year3!C$2:C$367))</f>
        <v/>
      </c>
      <c r="J23" s="5"/>
      <c r="K23" s="5"/>
    </row>
    <row r="24" spans="1:11" x14ac:dyDescent="0.3">
      <c r="G24" s="5"/>
      <c r="H24" s="5" t="str">
        <f>CONCATENATE(LEFT(Daily_Year3!A2,4),"-Q2")</f>
        <v>-Q2</v>
      </c>
      <c r="I24" s="9" t="str">
        <f>IF(J24 = 0,"",AVERAGEIF(Daily_Year3!B$2:B$367,2,Daily_Year3!C$2:C$367))</f>
        <v/>
      </c>
      <c r="J24" s="5"/>
      <c r="K24" s="5"/>
    </row>
    <row r="25" spans="1:11" x14ac:dyDescent="0.3">
      <c r="G25" s="5"/>
      <c r="H25" s="5" t="str">
        <f>CONCATENATE(LEFT(Daily_Year3!A2,4),"-Q3")</f>
        <v>-Q3</v>
      </c>
      <c r="I25" s="9" t="str">
        <f>IF(J25 = 0,"",AVERAGEIF(Daily_Year3!B$2:B$367,3,Daily_Year3!C$2:C$367))</f>
        <v/>
      </c>
      <c r="J25" s="5"/>
      <c r="K25" s="5"/>
    </row>
    <row r="26" spans="1:11" x14ac:dyDescent="0.3">
      <c r="G26" s="5"/>
      <c r="H26" s="5" t="str">
        <f>CONCATENATE(LEFT(Daily_Year3!A2,4),"-Q4")</f>
        <v>-Q4</v>
      </c>
      <c r="I26" s="9" t="str">
        <f>IF(J26 = 0,"",AVERAGEIF(Daily_Year3!B$2:B$367,4,Daily_Year3!C$2:C$367))</f>
        <v/>
      </c>
      <c r="J26" s="5"/>
      <c r="K26" s="5"/>
    </row>
  </sheetData>
  <mergeCells count="2">
    <mergeCell ref="F1:H1"/>
    <mergeCell ref="I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F306-3479-4F66-88B1-5CFE6A95AAAE}">
  <dimension ref="A1:E3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2" width="10.77734375" customWidth="1"/>
    <col min="3" max="3" width="12.77734375" customWidth="1"/>
    <col min="4" max="4" width="10.77734375" customWidth="1"/>
    <col min="5" max="5" width="12.77734375" customWidth="1"/>
  </cols>
  <sheetData>
    <row r="1" spans="1:5" ht="43.2" customHeight="1" x14ac:dyDescent="0.3">
      <c r="A1" s="2" t="s">
        <v>0</v>
      </c>
      <c r="B1" s="2" t="s">
        <v>24</v>
      </c>
      <c r="C1" s="2" t="s">
        <v>25</v>
      </c>
      <c r="D1" s="2" t="s">
        <v>1</v>
      </c>
      <c r="E1" s="2" t="s">
        <v>26</v>
      </c>
    </row>
    <row r="2" spans="1:5" x14ac:dyDescent="0.3">
      <c r="A2" s="5"/>
      <c r="B2" s="5"/>
      <c r="C2" s="7"/>
      <c r="D2" s="5"/>
      <c r="E2" s="5" t="str">
        <f>IF(ISBLANK(C2),"",RANK(C2,C$2:C$367,0)+COUNTIF(C$2:C2,C2)-1)</f>
        <v/>
      </c>
    </row>
    <row r="3" spans="1:5" x14ac:dyDescent="0.3">
      <c r="A3" s="5"/>
      <c r="B3" s="5"/>
      <c r="C3" s="7"/>
      <c r="D3" s="5"/>
      <c r="E3" s="5" t="str">
        <f>IF(ISBLANK(C3),"",RANK(C3,C$2:C$367,0)+COUNTIF(C$2:C3,C3)-1)</f>
        <v/>
      </c>
    </row>
    <row r="4" spans="1:5" x14ac:dyDescent="0.3">
      <c r="A4" s="5"/>
      <c r="B4" s="5"/>
      <c r="C4" s="7"/>
      <c r="D4" s="5"/>
      <c r="E4" s="5" t="str">
        <f>IF(ISBLANK(C4),"",RANK(C4,C$2:C$367,0)+COUNTIF(C$2:C4,C4)-1)</f>
        <v/>
      </c>
    </row>
    <row r="5" spans="1:5" x14ac:dyDescent="0.3">
      <c r="A5" s="5"/>
      <c r="B5" s="5"/>
      <c r="C5" s="7"/>
      <c r="D5" s="5"/>
      <c r="E5" s="5" t="str">
        <f>IF(ISBLANK(C5),"",RANK(C5,C$2:C$367,0)+COUNTIF(C$2:C5,C5)-1)</f>
        <v/>
      </c>
    </row>
    <row r="6" spans="1:5" x14ac:dyDescent="0.3">
      <c r="A6" s="5"/>
      <c r="B6" s="5"/>
      <c r="C6" s="7"/>
      <c r="D6" s="5"/>
      <c r="E6" s="5" t="str">
        <f>IF(ISBLANK(C6),"",RANK(C6,C$2:C$367,0)+COUNTIF(C$2:C6,C6)-1)</f>
        <v/>
      </c>
    </row>
    <row r="7" spans="1:5" x14ac:dyDescent="0.3">
      <c r="A7" s="5"/>
      <c r="B7" s="5"/>
      <c r="C7" s="7"/>
      <c r="D7" s="5"/>
      <c r="E7" s="5" t="str">
        <f>IF(ISBLANK(C7),"",RANK(C7,C$2:C$367,0)+COUNTIF(C$2:C7,C7)-1)</f>
        <v/>
      </c>
    </row>
    <row r="8" spans="1:5" x14ac:dyDescent="0.3">
      <c r="A8" s="5"/>
      <c r="B8" s="5"/>
      <c r="C8" s="7"/>
      <c r="D8" s="5"/>
      <c r="E8" s="5" t="str">
        <f>IF(ISBLANK(C8),"",RANK(C8,C$2:C$367,0)+COUNTIF(C$2:C8,C8)-1)</f>
        <v/>
      </c>
    </row>
    <row r="9" spans="1:5" x14ac:dyDescent="0.3">
      <c r="A9" s="5"/>
      <c r="B9" s="5"/>
      <c r="C9" s="7"/>
      <c r="D9" s="5"/>
      <c r="E9" s="5" t="str">
        <f>IF(ISBLANK(C9),"",RANK(C9,C$2:C$367,0)+COUNTIF(C$2:C9,C9)-1)</f>
        <v/>
      </c>
    </row>
    <row r="10" spans="1:5" x14ac:dyDescent="0.3">
      <c r="A10" s="5"/>
      <c r="B10" s="5"/>
      <c r="C10" s="7"/>
      <c r="D10" s="5"/>
      <c r="E10" s="5" t="str">
        <f>IF(ISBLANK(C10),"",RANK(C10,C$2:C$367,0)+COUNTIF(C$2:C10,C10)-1)</f>
        <v/>
      </c>
    </row>
    <row r="11" spans="1:5" x14ac:dyDescent="0.3">
      <c r="A11" s="5"/>
      <c r="B11" s="5"/>
      <c r="C11" s="7"/>
      <c r="D11" s="5"/>
      <c r="E11" s="5" t="str">
        <f>IF(ISBLANK(C11),"",RANK(C11,C$2:C$367,0)+COUNTIF(C$2:C11,C11)-1)</f>
        <v/>
      </c>
    </row>
    <row r="12" spans="1:5" x14ac:dyDescent="0.3">
      <c r="A12" s="5"/>
      <c r="B12" s="5"/>
      <c r="C12" s="7"/>
      <c r="D12" s="5"/>
      <c r="E12" s="5" t="str">
        <f>IF(ISBLANK(C12),"",RANK(C12,C$2:C$367,0)+COUNTIF(C$2:C12,C12)-1)</f>
        <v/>
      </c>
    </row>
    <row r="13" spans="1:5" x14ac:dyDescent="0.3">
      <c r="A13" s="5"/>
      <c r="B13" s="5"/>
      <c r="C13" s="7"/>
      <c r="D13" s="5"/>
      <c r="E13" s="5" t="str">
        <f>IF(ISBLANK(C13),"",RANK(C13,C$2:C$367,0)+COUNTIF(C$2:C13,C13)-1)</f>
        <v/>
      </c>
    </row>
    <row r="14" spans="1:5" x14ac:dyDescent="0.3">
      <c r="A14" s="5"/>
      <c r="B14" s="5"/>
      <c r="C14" s="7"/>
      <c r="D14" s="5"/>
      <c r="E14" s="5" t="str">
        <f>IF(ISBLANK(C14),"",RANK(C14,C$2:C$367,0)+COUNTIF(C$2:C14,C14)-1)</f>
        <v/>
      </c>
    </row>
    <row r="15" spans="1:5" x14ac:dyDescent="0.3">
      <c r="A15" s="5"/>
      <c r="B15" s="5"/>
      <c r="C15" s="7"/>
      <c r="D15" s="5"/>
      <c r="E15" s="5" t="str">
        <f>IF(ISBLANK(C15),"",RANK(C15,C$2:C$367,0)+COUNTIF(C$2:C15,C15)-1)</f>
        <v/>
      </c>
    </row>
    <row r="16" spans="1:5" x14ac:dyDescent="0.3">
      <c r="A16" s="5"/>
      <c r="B16" s="5"/>
      <c r="C16" s="7"/>
      <c r="D16" s="5"/>
      <c r="E16" s="5" t="str">
        <f>IF(ISBLANK(C16),"",RANK(C16,C$2:C$367,0)+COUNTIF(C$2:C16,C16)-1)</f>
        <v/>
      </c>
    </row>
    <row r="17" spans="1:5" x14ac:dyDescent="0.3">
      <c r="A17" s="5"/>
      <c r="B17" s="5"/>
      <c r="C17" s="7"/>
      <c r="D17" s="5"/>
      <c r="E17" s="5" t="str">
        <f>IF(ISBLANK(C17),"",RANK(C17,C$2:C$367,0)+COUNTIF(C$2:C17,C17)-1)</f>
        <v/>
      </c>
    </row>
    <row r="18" spans="1:5" x14ac:dyDescent="0.3">
      <c r="A18" s="5"/>
      <c r="B18" s="5"/>
      <c r="C18" s="7"/>
      <c r="D18" s="5"/>
      <c r="E18" s="5" t="str">
        <f>IF(ISBLANK(C18),"",RANK(C18,C$2:C$367,0)+COUNTIF(C$2:C18,C18)-1)</f>
        <v/>
      </c>
    </row>
    <row r="19" spans="1:5" x14ac:dyDescent="0.3">
      <c r="A19" s="5"/>
      <c r="B19" s="5"/>
      <c r="C19" s="7"/>
      <c r="D19" s="5"/>
      <c r="E19" s="5" t="str">
        <f>IF(ISBLANK(C19),"",RANK(C19,C$2:C$367,0)+COUNTIF(C$2:C19,C19)-1)</f>
        <v/>
      </c>
    </row>
    <row r="20" spans="1:5" x14ac:dyDescent="0.3">
      <c r="A20" s="5"/>
      <c r="B20" s="5"/>
      <c r="C20" s="7"/>
      <c r="D20" s="5"/>
      <c r="E20" s="5" t="str">
        <f>IF(ISBLANK(C20),"",RANK(C20,C$2:C$367,0)+COUNTIF(C$2:C20,C20)-1)</f>
        <v/>
      </c>
    </row>
    <row r="21" spans="1:5" x14ac:dyDescent="0.3">
      <c r="A21" s="5"/>
      <c r="B21" s="5"/>
      <c r="C21" s="7"/>
      <c r="D21" s="5"/>
      <c r="E21" s="5" t="str">
        <f>IF(ISBLANK(C21),"",RANK(C21,C$2:C$367,0)+COUNTIF(C$2:C21,C21)-1)</f>
        <v/>
      </c>
    </row>
    <row r="22" spans="1:5" x14ac:dyDescent="0.3">
      <c r="A22" s="5"/>
      <c r="B22" s="5"/>
      <c r="C22" s="7"/>
      <c r="D22" s="5"/>
      <c r="E22" s="5" t="str">
        <f>IF(ISBLANK(C22),"",RANK(C22,C$2:C$367,0)+COUNTIF(C$2:C22,C22)-1)</f>
        <v/>
      </c>
    </row>
    <row r="23" spans="1:5" x14ac:dyDescent="0.3">
      <c r="A23" s="5"/>
      <c r="B23" s="5"/>
      <c r="C23" s="7"/>
      <c r="D23" s="5"/>
      <c r="E23" s="5" t="str">
        <f>IF(ISBLANK(C23),"",RANK(C23,C$2:C$367,0)+COUNTIF(C$2:C23,C23)-1)</f>
        <v/>
      </c>
    </row>
    <row r="24" spans="1:5" x14ac:dyDescent="0.3">
      <c r="A24" s="5"/>
      <c r="B24" s="5"/>
      <c r="C24" s="7"/>
      <c r="D24" s="5"/>
      <c r="E24" s="5" t="str">
        <f>IF(ISBLANK(C24),"",RANK(C24,C$2:C$367,0)+COUNTIF(C$2:C24,C24)-1)</f>
        <v/>
      </c>
    </row>
    <row r="25" spans="1:5" x14ac:dyDescent="0.3">
      <c r="A25" s="5"/>
      <c r="B25" s="5"/>
      <c r="C25" s="7"/>
      <c r="D25" s="5"/>
      <c r="E25" s="5" t="str">
        <f>IF(ISBLANK(C25),"",RANK(C25,C$2:C$367,0)+COUNTIF(C$2:C25,C25)-1)</f>
        <v/>
      </c>
    </row>
    <row r="26" spans="1:5" x14ac:dyDescent="0.3">
      <c r="A26" s="5"/>
      <c r="B26" s="5"/>
      <c r="C26" s="7"/>
      <c r="D26" s="5"/>
      <c r="E26" s="5" t="str">
        <f>IF(ISBLANK(C26),"",RANK(C26,C$2:C$367,0)+COUNTIF(C$2:C26,C26)-1)</f>
        <v/>
      </c>
    </row>
    <row r="27" spans="1:5" x14ac:dyDescent="0.3">
      <c r="A27" s="5"/>
      <c r="B27" s="5"/>
      <c r="C27" s="7"/>
      <c r="D27" s="5"/>
      <c r="E27" s="5" t="str">
        <f>IF(ISBLANK(C27),"",RANK(C27,C$2:C$367,0)+COUNTIF(C$2:C27,C27)-1)</f>
        <v/>
      </c>
    </row>
    <row r="28" spans="1:5" x14ac:dyDescent="0.3">
      <c r="A28" s="5"/>
      <c r="B28" s="5"/>
      <c r="C28" s="7"/>
      <c r="D28" s="5"/>
      <c r="E28" s="5" t="str">
        <f>IF(ISBLANK(C28),"",RANK(C28,C$2:C$367,0)+COUNTIF(C$2:C28,C28)-1)</f>
        <v/>
      </c>
    </row>
    <row r="29" spans="1:5" x14ac:dyDescent="0.3">
      <c r="A29" s="5"/>
      <c r="B29" s="5"/>
      <c r="C29" s="7"/>
      <c r="D29" s="5"/>
      <c r="E29" s="5" t="str">
        <f>IF(ISBLANK(C29),"",RANK(C29,C$2:C$367,0)+COUNTIF(C$2:C29,C29)-1)</f>
        <v/>
      </c>
    </row>
    <row r="30" spans="1:5" x14ac:dyDescent="0.3">
      <c r="A30" s="5"/>
      <c r="B30" s="5"/>
      <c r="C30" s="7"/>
      <c r="D30" s="5"/>
      <c r="E30" s="5" t="str">
        <f>IF(ISBLANK(C30),"",RANK(C30,C$2:C$367,0)+COUNTIF(C$2:C30,C30)-1)</f>
        <v/>
      </c>
    </row>
    <row r="31" spans="1:5" x14ac:dyDescent="0.3">
      <c r="A31" s="5"/>
      <c r="B31" s="5"/>
      <c r="C31" s="7"/>
      <c r="D31" s="5"/>
      <c r="E31" s="5" t="str">
        <f>IF(ISBLANK(C31),"",RANK(C31,C$2:C$367,0)+COUNTIF(C$2:C31,C31)-1)</f>
        <v/>
      </c>
    </row>
    <row r="32" spans="1:5" x14ac:dyDescent="0.3">
      <c r="A32" s="5"/>
      <c r="B32" s="5"/>
      <c r="C32" s="7"/>
      <c r="D32" s="5"/>
      <c r="E32" s="5" t="str">
        <f>IF(ISBLANK(C32),"",RANK(C32,C$2:C$367,0)+COUNTIF(C$2:C32,C32)-1)</f>
        <v/>
      </c>
    </row>
    <row r="33" spans="1:5" x14ac:dyDescent="0.3">
      <c r="A33" s="5"/>
      <c r="B33" s="5"/>
      <c r="C33" s="7"/>
      <c r="D33" s="5"/>
      <c r="E33" s="5" t="str">
        <f>IF(ISBLANK(C33),"",RANK(C33,C$2:C$367,0)+COUNTIF(C$2:C33,C33)-1)</f>
        <v/>
      </c>
    </row>
    <row r="34" spans="1:5" x14ac:dyDescent="0.3">
      <c r="A34" s="5"/>
      <c r="B34" s="5"/>
      <c r="C34" s="7"/>
      <c r="D34" s="5"/>
      <c r="E34" s="5" t="str">
        <f>IF(ISBLANK(C34),"",RANK(C34,C$2:C$367,0)+COUNTIF(C$2:C34,C34)-1)</f>
        <v/>
      </c>
    </row>
    <row r="35" spans="1:5" x14ac:dyDescent="0.3">
      <c r="A35" s="5"/>
      <c r="B35" s="5"/>
      <c r="C35" s="7"/>
      <c r="D35" s="5"/>
      <c r="E35" s="5" t="str">
        <f>IF(ISBLANK(C35),"",RANK(C35,C$2:C$367,0)+COUNTIF(C$2:C35,C35)-1)</f>
        <v/>
      </c>
    </row>
    <row r="36" spans="1:5" x14ac:dyDescent="0.3">
      <c r="A36" s="5"/>
      <c r="B36" s="5"/>
      <c r="C36" s="7"/>
      <c r="D36" s="5"/>
      <c r="E36" s="5" t="str">
        <f>IF(ISBLANK(C36),"",RANK(C36,C$2:C$367,0)+COUNTIF(C$2:C36,C36)-1)</f>
        <v/>
      </c>
    </row>
    <row r="37" spans="1:5" x14ac:dyDescent="0.3">
      <c r="A37" s="5"/>
      <c r="B37" s="5"/>
      <c r="C37" s="7"/>
      <c r="D37" s="5"/>
      <c r="E37" s="5" t="str">
        <f>IF(ISBLANK(C37),"",RANK(C37,C$2:C$367,0)+COUNTIF(C$2:C37,C37)-1)</f>
        <v/>
      </c>
    </row>
    <row r="38" spans="1:5" x14ac:dyDescent="0.3">
      <c r="A38" s="5"/>
      <c r="B38" s="5"/>
      <c r="C38" s="7"/>
      <c r="D38" s="5"/>
      <c r="E38" s="5" t="str">
        <f>IF(ISBLANK(C38),"",RANK(C38,C$2:C$367,0)+COUNTIF(C$2:C38,C38)-1)</f>
        <v/>
      </c>
    </row>
    <row r="39" spans="1:5" x14ac:dyDescent="0.3">
      <c r="A39" s="5"/>
      <c r="B39" s="5"/>
      <c r="C39" s="7"/>
      <c r="D39" s="5"/>
      <c r="E39" s="5" t="str">
        <f>IF(ISBLANK(C39),"",RANK(C39,C$2:C$367,0)+COUNTIF(C$2:C39,C39)-1)</f>
        <v/>
      </c>
    </row>
    <row r="40" spans="1:5" x14ac:dyDescent="0.3">
      <c r="A40" s="5"/>
      <c r="B40" s="5"/>
      <c r="C40" s="7"/>
      <c r="D40" s="5"/>
      <c r="E40" s="5" t="str">
        <f>IF(ISBLANK(C40),"",RANK(C40,C$2:C$367,0)+COUNTIF(C$2:C40,C40)-1)</f>
        <v/>
      </c>
    </row>
    <row r="41" spans="1:5" x14ac:dyDescent="0.3">
      <c r="A41" s="5"/>
      <c r="B41" s="5"/>
      <c r="C41" s="7"/>
      <c r="D41" s="5"/>
      <c r="E41" s="5" t="str">
        <f>IF(ISBLANK(C41),"",RANK(C41,C$2:C$367,0)+COUNTIF(C$2:C41,C41)-1)</f>
        <v/>
      </c>
    </row>
    <row r="42" spans="1:5" x14ac:dyDescent="0.3">
      <c r="A42" s="5"/>
      <c r="B42" s="5"/>
      <c r="C42" s="7"/>
      <c r="D42" s="5"/>
      <c r="E42" s="5" t="str">
        <f>IF(ISBLANK(C42),"",RANK(C42,C$2:C$367,0)+COUNTIF(C$2:C42,C42)-1)</f>
        <v/>
      </c>
    </row>
    <row r="43" spans="1:5" x14ac:dyDescent="0.3">
      <c r="A43" s="5"/>
      <c r="B43" s="5"/>
      <c r="C43" s="7"/>
      <c r="D43" s="5"/>
      <c r="E43" s="5" t="str">
        <f>IF(ISBLANK(C43),"",RANK(C43,C$2:C$367,0)+COUNTIF(C$2:C43,C43)-1)</f>
        <v/>
      </c>
    </row>
    <row r="44" spans="1:5" x14ac:dyDescent="0.3">
      <c r="A44" s="5"/>
      <c r="B44" s="5"/>
      <c r="C44" s="7"/>
      <c r="D44" s="5"/>
      <c r="E44" s="5" t="str">
        <f>IF(ISBLANK(C44),"",RANK(C44,C$2:C$367,0)+COUNTIF(C$2:C44,C44)-1)</f>
        <v/>
      </c>
    </row>
    <row r="45" spans="1:5" x14ac:dyDescent="0.3">
      <c r="A45" s="5"/>
      <c r="B45" s="5"/>
      <c r="C45" s="7"/>
      <c r="D45" s="5"/>
      <c r="E45" s="5" t="str">
        <f>IF(ISBLANK(C45),"",RANK(C45,C$2:C$367,0)+COUNTIF(C$2:C45,C45)-1)</f>
        <v/>
      </c>
    </row>
    <row r="46" spans="1:5" x14ac:dyDescent="0.3">
      <c r="A46" s="5"/>
      <c r="B46" s="5"/>
      <c r="C46" s="7"/>
      <c r="D46" s="5"/>
      <c r="E46" s="5" t="str">
        <f>IF(ISBLANK(C46),"",RANK(C46,C$2:C$367,0)+COUNTIF(C$2:C46,C46)-1)</f>
        <v/>
      </c>
    </row>
    <row r="47" spans="1:5" x14ac:dyDescent="0.3">
      <c r="A47" s="5"/>
      <c r="B47" s="5"/>
      <c r="C47" s="7"/>
      <c r="D47" s="5"/>
      <c r="E47" s="5" t="str">
        <f>IF(ISBLANK(C47),"",RANK(C47,C$2:C$367,0)+COUNTIF(C$2:C47,C47)-1)</f>
        <v/>
      </c>
    </row>
    <row r="48" spans="1:5" x14ac:dyDescent="0.3">
      <c r="A48" s="5"/>
      <c r="B48" s="5"/>
      <c r="C48" s="7"/>
      <c r="D48" s="5"/>
      <c r="E48" s="5" t="str">
        <f>IF(ISBLANK(C48),"",RANK(C48,C$2:C$367,0)+COUNTIF(C$2:C48,C48)-1)</f>
        <v/>
      </c>
    </row>
    <row r="49" spans="1:5" x14ac:dyDescent="0.3">
      <c r="A49" s="5"/>
      <c r="B49" s="5"/>
      <c r="C49" s="7"/>
      <c r="D49" s="5"/>
      <c r="E49" s="5" t="str">
        <f>IF(ISBLANK(C49),"",RANK(C49,C$2:C$367,0)+COUNTIF(C$2:C49,C49)-1)</f>
        <v/>
      </c>
    </row>
    <row r="50" spans="1:5" x14ac:dyDescent="0.3">
      <c r="A50" s="5"/>
      <c r="B50" s="5"/>
      <c r="C50" s="7"/>
      <c r="D50" s="5"/>
      <c r="E50" s="5" t="str">
        <f>IF(ISBLANK(C50),"",RANK(C50,C$2:C$367,0)+COUNTIF(C$2:C50,C50)-1)</f>
        <v/>
      </c>
    </row>
    <row r="51" spans="1:5" x14ac:dyDescent="0.3">
      <c r="A51" s="5"/>
      <c r="B51" s="5"/>
      <c r="C51" s="7"/>
      <c r="D51" s="5"/>
      <c r="E51" s="5" t="str">
        <f>IF(ISBLANK(C51),"",RANK(C51,C$2:C$367,0)+COUNTIF(C$2:C51,C51)-1)</f>
        <v/>
      </c>
    </row>
    <row r="52" spans="1:5" x14ac:dyDescent="0.3">
      <c r="A52" s="5"/>
      <c r="B52" s="5"/>
      <c r="C52" s="7"/>
      <c r="D52" s="5"/>
      <c r="E52" s="5" t="str">
        <f>IF(ISBLANK(C52),"",RANK(C52,C$2:C$367,0)+COUNTIF(C$2:C52,C52)-1)</f>
        <v/>
      </c>
    </row>
    <row r="53" spans="1:5" x14ac:dyDescent="0.3">
      <c r="A53" s="5"/>
      <c r="B53" s="5"/>
      <c r="C53" s="7"/>
      <c r="D53" s="5"/>
      <c r="E53" s="5" t="str">
        <f>IF(ISBLANK(C53),"",RANK(C53,C$2:C$367,0)+COUNTIF(C$2:C53,C53)-1)</f>
        <v/>
      </c>
    </row>
    <row r="54" spans="1:5" x14ac:dyDescent="0.3">
      <c r="A54" s="5"/>
      <c r="B54" s="5"/>
      <c r="C54" s="7"/>
      <c r="D54" s="5"/>
      <c r="E54" s="5" t="str">
        <f>IF(ISBLANK(C54),"",RANK(C54,C$2:C$367,0)+COUNTIF(C$2:C54,C54)-1)</f>
        <v/>
      </c>
    </row>
    <row r="55" spans="1:5" x14ac:dyDescent="0.3">
      <c r="A55" s="5"/>
      <c r="B55" s="5"/>
      <c r="C55" s="7"/>
      <c r="D55" s="5"/>
      <c r="E55" s="5" t="str">
        <f>IF(ISBLANK(C55),"",RANK(C55,C$2:C$367,0)+COUNTIF(C$2:C55,C55)-1)</f>
        <v/>
      </c>
    </row>
    <row r="56" spans="1:5" x14ac:dyDescent="0.3">
      <c r="A56" s="5"/>
      <c r="B56" s="5"/>
      <c r="C56" s="7"/>
      <c r="D56" s="5"/>
      <c r="E56" s="5" t="str">
        <f>IF(ISBLANK(C56),"",RANK(C56,C$2:C$367,0)+COUNTIF(C$2:C56,C56)-1)</f>
        <v/>
      </c>
    </row>
    <row r="57" spans="1:5" x14ac:dyDescent="0.3">
      <c r="A57" s="5"/>
      <c r="B57" s="5"/>
      <c r="C57" s="7"/>
      <c r="D57" s="5"/>
      <c r="E57" s="5" t="str">
        <f>IF(ISBLANK(C57),"",RANK(C57,C$2:C$367,0)+COUNTIF(C$2:C57,C57)-1)</f>
        <v/>
      </c>
    </row>
    <row r="58" spans="1:5" x14ac:dyDescent="0.3">
      <c r="A58" s="5"/>
      <c r="B58" s="5"/>
      <c r="C58" s="7"/>
      <c r="D58" s="5"/>
      <c r="E58" s="5" t="str">
        <f>IF(ISBLANK(C58),"",RANK(C58,C$2:C$367,0)+COUNTIF(C$2:C58,C58)-1)</f>
        <v/>
      </c>
    </row>
    <row r="59" spans="1:5" x14ac:dyDescent="0.3">
      <c r="A59" s="5"/>
      <c r="B59" s="5"/>
      <c r="C59" s="7"/>
      <c r="D59" s="5"/>
      <c r="E59" s="5" t="str">
        <f>IF(ISBLANK(C59),"",RANK(C59,C$2:C$367,0)+COUNTIF(C$2:C59,C59)-1)</f>
        <v/>
      </c>
    </row>
    <row r="60" spans="1:5" x14ac:dyDescent="0.3">
      <c r="A60" s="5"/>
      <c r="B60" s="5"/>
      <c r="C60" s="7"/>
      <c r="D60" s="5"/>
      <c r="E60" s="5" t="str">
        <f>IF(ISBLANK(C60),"",RANK(C60,C$2:C$367,0)+COUNTIF(C$2:C60,C60)-1)</f>
        <v/>
      </c>
    </row>
    <row r="61" spans="1:5" x14ac:dyDescent="0.3">
      <c r="A61" s="5"/>
      <c r="B61" s="5"/>
      <c r="C61" s="7"/>
      <c r="D61" s="5"/>
      <c r="E61" s="5" t="str">
        <f>IF(ISBLANK(C61),"",RANK(C61,C$2:C$367,0)+COUNTIF(C$2:C61,C61)-1)</f>
        <v/>
      </c>
    </row>
    <row r="62" spans="1:5" x14ac:dyDescent="0.3">
      <c r="A62" s="5"/>
      <c r="B62" s="5"/>
      <c r="C62" s="7"/>
      <c r="D62" s="5"/>
      <c r="E62" s="5" t="str">
        <f>IF(ISBLANK(C62),"",RANK(C62,C$2:C$367,0)+COUNTIF(C$2:C62,C62)-1)</f>
        <v/>
      </c>
    </row>
    <row r="63" spans="1:5" x14ac:dyDescent="0.3">
      <c r="A63" s="5"/>
      <c r="B63" s="5"/>
      <c r="C63" s="7"/>
      <c r="D63" s="5"/>
      <c r="E63" s="5" t="str">
        <f>IF(ISBLANK(C63),"",RANK(C63,C$2:C$367,0)+COUNTIF(C$2:C63,C63)-1)</f>
        <v/>
      </c>
    </row>
    <row r="64" spans="1:5" x14ac:dyDescent="0.3">
      <c r="A64" s="5"/>
      <c r="B64" s="5"/>
      <c r="C64" s="7"/>
      <c r="D64" s="5"/>
      <c r="E64" s="5" t="str">
        <f>IF(ISBLANK(C64),"",RANK(C64,C$2:C$367,0)+COUNTIF(C$2:C64,C64)-1)</f>
        <v/>
      </c>
    </row>
    <row r="65" spans="1:5" x14ac:dyDescent="0.3">
      <c r="A65" s="5"/>
      <c r="B65" s="5"/>
      <c r="C65" s="7"/>
      <c r="D65" s="5"/>
      <c r="E65" s="5" t="str">
        <f>IF(ISBLANK(C65),"",RANK(C65,C$2:C$367,0)+COUNTIF(C$2:C65,C65)-1)</f>
        <v/>
      </c>
    </row>
    <row r="66" spans="1:5" x14ac:dyDescent="0.3">
      <c r="A66" s="5"/>
      <c r="B66" s="5"/>
      <c r="C66" s="7"/>
      <c r="D66" s="5"/>
      <c r="E66" s="5" t="str">
        <f>IF(ISBLANK(C66),"",RANK(C66,C$2:C$367,0)+COUNTIF(C$2:C66,C66)-1)</f>
        <v/>
      </c>
    </row>
    <row r="67" spans="1:5" x14ac:dyDescent="0.3">
      <c r="A67" s="5"/>
      <c r="B67" s="5"/>
      <c r="C67" s="7"/>
      <c r="D67" s="5"/>
      <c r="E67" s="5" t="str">
        <f>IF(ISBLANK(C67),"",RANK(C67,C$2:C$367,0)+COUNTIF(C$2:C67,C67)-1)</f>
        <v/>
      </c>
    </row>
    <row r="68" spans="1:5" x14ac:dyDescent="0.3">
      <c r="A68" s="5"/>
      <c r="B68" s="5"/>
      <c r="C68" s="7"/>
      <c r="D68" s="5"/>
      <c r="E68" s="5" t="str">
        <f>IF(ISBLANK(C68),"",RANK(C68,C$2:C$367,0)+COUNTIF(C$2:C68,C68)-1)</f>
        <v/>
      </c>
    </row>
    <row r="69" spans="1:5" x14ac:dyDescent="0.3">
      <c r="A69" s="5"/>
      <c r="B69" s="5"/>
      <c r="C69" s="7"/>
      <c r="D69" s="5"/>
      <c r="E69" s="5" t="str">
        <f>IF(ISBLANK(C69),"",RANK(C69,C$2:C$367,0)+COUNTIF(C$2:C69,C69)-1)</f>
        <v/>
      </c>
    </row>
    <row r="70" spans="1:5" x14ac:dyDescent="0.3">
      <c r="A70" s="5"/>
      <c r="B70" s="5"/>
      <c r="C70" s="7"/>
      <c r="D70" s="5"/>
      <c r="E70" s="5" t="str">
        <f>IF(ISBLANK(C70),"",RANK(C70,C$2:C$367,0)+COUNTIF(C$2:C70,C70)-1)</f>
        <v/>
      </c>
    </row>
    <row r="71" spans="1:5" x14ac:dyDescent="0.3">
      <c r="A71" s="5"/>
      <c r="B71" s="5"/>
      <c r="C71" s="7"/>
      <c r="D71" s="5"/>
      <c r="E71" s="5" t="str">
        <f>IF(ISBLANK(C71),"",RANK(C71,C$2:C$367,0)+COUNTIF(C$2:C71,C71)-1)</f>
        <v/>
      </c>
    </row>
    <row r="72" spans="1:5" x14ac:dyDescent="0.3">
      <c r="A72" s="5"/>
      <c r="B72" s="5"/>
      <c r="C72" s="7"/>
      <c r="D72" s="5"/>
      <c r="E72" s="5" t="str">
        <f>IF(ISBLANK(C72),"",RANK(C72,C$2:C$367,0)+COUNTIF(C$2:C72,C72)-1)</f>
        <v/>
      </c>
    </row>
    <row r="73" spans="1:5" x14ac:dyDescent="0.3">
      <c r="A73" s="5"/>
      <c r="B73" s="5"/>
      <c r="C73" s="7"/>
      <c r="D73" s="5"/>
      <c r="E73" s="5" t="str">
        <f>IF(ISBLANK(C73),"",RANK(C73,C$2:C$367,0)+COUNTIF(C$2:C73,C73)-1)</f>
        <v/>
      </c>
    </row>
    <row r="74" spans="1:5" x14ac:dyDescent="0.3">
      <c r="A74" s="5"/>
      <c r="B74" s="5"/>
      <c r="C74" s="7"/>
      <c r="D74" s="5"/>
      <c r="E74" s="5" t="str">
        <f>IF(ISBLANK(C74),"",RANK(C74,C$2:C$367,0)+COUNTIF(C$2:C74,C74)-1)</f>
        <v/>
      </c>
    </row>
    <row r="75" spans="1:5" x14ac:dyDescent="0.3">
      <c r="A75" s="5"/>
      <c r="B75" s="5"/>
      <c r="C75" s="7"/>
      <c r="D75" s="5"/>
      <c r="E75" s="5" t="str">
        <f>IF(ISBLANK(C75),"",RANK(C75,C$2:C$367,0)+COUNTIF(C$2:C75,C75)-1)</f>
        <v/>
      </c>
    </row>
    <row r="76" spans="1:5" x14ac:dyDescent="0.3">
      <c r="A76" s="5"/>
      <c r="B76" s="5"/>
      <c r="C76" s="7"/>
      <c r="D76" s="5"/>
      <c r="E76" s="5" t="str">
        <f>IF(ISBLANK(C76),"",RANK(C76,C$2:C$367,0)+COUNTIF(C$2:C76,C76)-1)</f>
        <v/>
      </c>
    </row>
    <row r="77" spans="1:5" x14ac:dyDescent="0.3">
      <c r="A77" s="5"/>
      <c r="B77" s="5"/>
      <c r="C77" s="7"/>
      <c r="D77" s="5"/>
      <c r="E77" s="5" t="str">
        <f>IF(ISBLANK(C77),"",RANK(C77,C$2:C$367,0)+COUNTIF(C$2:C77,C77)-1)</f>
        <v/>
      </c>
    </row>
    <row r="78" spans="1:5" x14ac:dyDescent="0.3">
      <c r="A78" s="5"/>
      <c r="B78" s="5"/>
      <c r="C78" s="7"/>
      <c r="D78" s="5"/>
      <c r="E78" s="5" t="str">
        <f>IF(ISBLANK(C78),"",RANK(C78,C$2:C$367,0)+COUNTIF(C$2:C78,C78)-1)</f>
        <v/>
      </c>
    </row>
    <row r="79" spans="1:5" x14ac:dyDescent="0.3">
      <c r="A79" s="5"/>
      <c r="B79" s="5"/>
      <c r="C79" s="7"/>
      <c r="D79" s="5"/>
      <c r="E79" s="5" t="str">
        <f>IF(ISBLANK(C79),"",RANK(C79,C$2:C$367,0)+COUNTIF(C$2:C79,C79)-1)</f>
        <v/>
      </c>
    </row>
    <row r="80" spans="1:5" x14ac:dyDescent="0.3">
      <c r="A80" s="5"/>
      <c r="B80" s="5"/>
      <c r="C80" s="7"/>
      <c r="D80" s="5"/>
      <c r="E80" s="5" t="str">
        <f>IF(ISBLANK(C80),"",RANK(C80,C$2:C$367,0)+COUNTIF(C$2:C80,C80)-1)</f>
        <v/>
      </c>
    </row>
    <row r="81" spans="1:5" x14ac:dyDescent="0.3">
      <c r="A81" s="5"/>
      <c r="B81" s="5"/>
      <c r="C81" s="7"/>
      <c r="D81" s="5"/>
      <c r="E81" s="5" t="str">
        <f>IF(ISBLANK(C81),"",RANK(C81,C$2:C$367,0)+COUNTIF(C$2:C81,C81)-1)</f>
        <v/>
      </c>
    </row>
    <row r="82" spans="1:5" x14ac:dyDescent="0.3">
      <c r="A82" s="5"/>
      <c r="B82" s="5"/>
      <c r="C82" s="7"/>
      <c r="D82" s="5"/>
      <c r="E82" s="5" t="str">
        <f>IF(ISBLANK(C82),"",RANK(C82,C$2:C$367,0)+COUNTIF(C$2:C82,C82)-1)</f>
        <v/>
      </c>
    </row>
    <row r="83" spans="1:5" x14ac:dyDescent="0.3">
      <c r="A83" s="5"/>
      <c r="B83" s="5"/>
      <c r="C83" s="7"/>
      <c r="D83" s="5"/>
      <c r="E83" s="5" t="str">
        <f>IF(ISBLANK(C83),"",RANK(C83,C$2:C$367,0)+COUNTIF(C$2:C83,C83)-1)</f>
        <v/>
      </c>
    </row>
    <row r="84" spans="1:5" x14ac:dyDescent="0.3">
      <c r="A84" s="5"/>
      <c r="B84" s="5"/>
      <c r="C84" s="7"/>
      <c r="D84" s="5"/>
      <c r="E84" s="5" t="str">
        <f>IF(ISBLANK(C84),"",RANK(C84,C$2:C$367,0)+COUNTIF(C$2:C84,C84)-1)</f>
        <v/>
      </c>
    </row>
    <row r="85" spans="1:5" x14ac:dyDescent="0.3">
      <c r="A85" s="5"/>
      <c r="B85" s="5"/>
      <c r="C85" s="7"/>
      <c r="D85" s="5"/>
      <c r="E85" s="5" t="str">
        <f>IF(ISBLANK(C85),"",RANK(C85,C$2:C$367,0)+COUNTIF(C$2:C85,C85)-1)</f>
        <v/>
      </c>
    </row>
    <row r="86" spans="1:5" x14ac:dyDescent="0.3">
      <c r="A86" s="5"/>
      <c r="B86" s="5"/>
      <c r="C86" s="7"/>
      <c r="D86" s="5"/>
      <c r="E86" s="5" t="str">
        <f>IF(ISBLANK(C86),"",RANK(C86,C$2:C$367,0)+COUNTIF(C$2:C86,C86)-1)</f>
        <v/>
      </c>
    </row>
    <row r="87" spans="1:5" x14ac:dyDescent="0.3">
      <c r="A87" s="5"/>
      <c r="B87" s="5"/>
      <c r="C87" s="7"/>
      <c r="D87" s="5"/>
      <c r="E87" s="5" t="str">
        <f>IF(ISBLANK(C87),"",RANK(C87,C$2:C$367,0)+COUNTIF(C$2:C87,C87)-1)</f>
        <v/>
      </c>
    </row>
    <row r="88" spans="1:5" x14ac:dyDescent="0.3">
      <c r="A88" s="5"/>
      <c r="B88" s="5"/>
      <c r="C88" s="7"/>
      <c r="D88" s="5"/>
      <c r="E88" s="5" t="str">
        <f>IF(ISBLANK(C88),"",RANK(C88,C$2:C$367,0)+COUNTIF(C$2:C88,C88)-1)</f>
        <v/>
      </c>
    </row>
    <row r="89" spans="1:5" x14ac:dyDescent="0.3">
      <c r="A89" s="5"/>
      <c r="B89" s="5"/>
      <c r="C89" s="7"/>
      <c r="D89" s="5"/>
      <c r="E89" s="5" t="str">
        <f>IF(ISBLANK(C89),"",RANK(C89,C$2:C$367,0)+COUNTIF(C$2:C89,C89)-1)</f>
        <v/>
      </c>
    </row>
    <row r="90" spans="1:5" x14ac:dyDescent="0.3">
      <c r="A90" s="5"/>
      <c r="B90" s="5"/>
      <c r="C90" s="7"/>
      <c r="D90" s="5"/>
      <c r="E90" s="5" t="str">
        <f>IF(ISBLANK(C90),"",RANK(C90,C$2:C$367,0)+COUNTIF(C$2:C90,C90)-1)</f>
        <v/>
      </c>
    </row>
    <row r="91" spans="1:5" x14ac:dyDescent="0.3">
      <c r="A91" s="5"/>
      <c r="B91" s="5"/>
      <c r="C91" s="7"/>
      <c r="D91" s="5"/>
      <c r="E91" s="5" t="str">
        <f>IF(ISBLANK(C91),"",RANK(C91,C$2:C$367,0)+COUNTIF(C$2:C91,C91)-1)</f>
        <v/>
      </c>
    </row>
    <row r="92" spans="1:5" x14ac:dyDescent="0.3">
      <c r="A92" s="5"/>
      <c r="B92" s="5"/>
      <c r="C92" s="7"/>
      <c r="D92" s="5"/>
      <c r="E92" s="5" t="str">
        <f>IF(ISBLANK(C92),"",RANK(C92,C$2:C$367,0)+COUNTIF(C$2:C92,C92)-1)</f>
        <v/>
      </c>
    </row>
    <row r="93" spans="1:5" x14ac:dyDescent="0.3">
      <c r="A93" s="5"/>
      <c r="B93" s="5"/>
      <c r="C93" s="7"/>
      <c r="D93" s="5"/>
      <c r="E93" s="5" t="str">
        <f>IF(ISBLANK(C93),"",RANK(C93,C$2:C$367,0)+COUNTIF(C$2:C93,C93)-1)</f>
        <v/>
      </c>
    </row>
    <row r="94" spans="1:5" x14ac:dyDescent="0.3">
      <c r="A94" s="5"/>
      <c r="B94" s="5"/>
      <c r="C94" s="7"/>
      <c r="D94" s="5"/>
      <c r="E94" s="5" t="str">
        <f>IF(ISBLANK(C94),"",RANK(C94,C$2:C$367,0)+COUNTIF(C$2:C94,C94)-1)</f>
        <v/>
      </c>
    </row>
    <row r="95" spans="1:5" x14ac:dyDescent="0.3">
      <c r="A95" s="5"/>
      <c r="B95" s="5"/>
      <c r="C95" s="7"/>
      <c r="D95" s="5"/>
      <c r="E95" s="5" t="str">
        <f>IF(ISBLANK(C95),"",RANK(C95,C$2:C$367,0)+COUNTIF(C$2:C95,C95)-1)</f>
        <v/>
      </c>
    </row>
    <row r="96" spans="1:5" x14ac:dyDescent="0.3">
      <c r="A96" s="5"/>
      <c r="B96" s="5"/>
      <c r="C96" s="7"/>
      <c r="D96" s="5"/>
      <c r="E96" s="5" t="str">
        <f>IF(ISBLANK(C96),"",RANK(C96,C$2:C$367,0)+COUNTIF(C$2:C96,C96)-1)</f>
        <v/>
      </c>
    </row>
    <row r="97" spans="1:5" x14ac:dyDescent="0.3">
      <c r="A97" s="5"/>
      <c r="B97" s="5"/>
      <c r="C97" s="7"/>
      <c r="D97" s="5"/>
      <c r="E97" s="5" t="str">
        <f>IF(ISBLANK(C97),"",RANK(C97,C$2:C$367,0)+COUNTIF(C$2:C97,C97)-1)</f>
        <v/>
      </c>
    </row>
    <row r="98" spans="1:5" x14ac:dyDescent="0.3">
      <c r="A98" s="5"/>
      <c r="B98" s="5"/>
      <c r="C98" s="7"/>
      <c r="D98" s="5"/>
      <c r="E98" s="5" t="str">
        <f>IF(ISBLANK(C98),"",RANK(C98,C$2:C$367,0)+COUNTIF(C$2:C98,C98)-1)</f>
        <v/>
      </c>
    </row>
    <row r="99" spans="1:5" x14ac:dyDescent="0.3">
      <c r="A99" s="5"/>
      <c r="B99" s="5"/>
      <c r="C99" s="7"/>
      <c r="D99" s="5"/>
      <c r="E99" s="5" t="str">
        <f>IF(ISBLANK(C99),"",RANK(C99,C$2:C$367,0)+COUNTIF(C$2:C99,C99)-1)</f>
        <v/>
      </c>
    </row>
    <row r="100" spans="1:5" x14ac:dyDescent="0.3">
      <c r="A100" s="5"/>
      <c r="B100" s="5"/>
      <c r="C100" s="7"/>
      <c r="D100" s="5"/>
      <c r="E100" s="5" t="str">
        <f>IF(ISBLANK(C100),"",RANK(C100,C$2:C$367,0)+COUNTIF(C$2:C100,C100)-1)</f>
        <v/>
      </c>
    </row>
    <row r="101" spans="1:5" x14ac:dyDescent="0.3">
      <c r="A101" s="5"/>
      <c r="B101" s="5"/>
      <c r="C101" s="7"/>
      <c r="D101" s="5"/>
      <c r="E101" s="5" t="str">
        <f>IF(ISBLANK(C101),"",RANK(C101,C$2:C$367,0)+COUNTIF(C$2:C101,C101)-1)</f>
        <v/>
      </c>
    </row>
    <row r="102" spans="1:5" x14ac:dyDescent="0.3">
      <c r="A102" s="5"/>
      <c r="B102" s="5"/>
      <c r="C102" s="7"/>
      <c r="D102" s="5"/>
      <c r="E102" s="5" t="str">
        <f>IF(ISBLANK(C102),"",RANK(C102,C$2:C$367,0)+COUNTIF(C$2:C102,C102)-1)</f>
        <v/>
      </c>
    </row>
    <row r="103" spans="1:5" x14ac:dyDescent="0.3">
      <c r="A103" s="5"/>
      <c r="B103" s="5"/>
      <c r="C103" s="7"/>
      <c r="D103" s="5"/>
      <c r="E103" s="5" t="str">
        <f>IF(ISBLANK(C103),"",RANK(C103,C$2:C$367,0)+COUNTIF(C$2:C103,C103)-1)</f>
        <v/>
      </c>
    </row>
    <row r="104" spans="1:5" x14ac:dyDescent="0.3">
      <c r="A104" s="5"/>
      <c r="B104" s="5"/>
      <c r="C104" s="7"/>
      <c r="D104" s="5"/>
      <c r="E104" s="5" t="str">
        <f>IF(ISBLANK(C104),"",RANK(C104,C$2:C$367,0)+COUNTIF(C$2:C104,C104)-1)</f>
        <v/>
      </c>
    </row>
    <row r="105" spans="1:5" x14ac:dyDescent="0.3">
      <c r="A105" s="5"/>
      <c r="B105" s="5"/>
      <c r="C105" s="7"/>
      <c r="D105" s="5"/>
      <c r="E105" s="5" t="str">
        <f>IF(ISBLANK(C105),"",RANK(C105,C$2:C$367,0)+COUNTIF(C$2:C105,C105)-1)</f>
        <v/>
      </c>
    </row>
    <row r="106" spans="1:5" x14ac:dyDescent="0.3">
      <c r="A106" s="5"/>
      <c r="B106" s="5"/>
      <c r="C106" s="7"/>
      <c r="D106" s="5"/>
      <c r="E106" s="5" t="str">
        <f>IF(ISBLANK(C106),"",RANK(C106,C$2:C$367,0)+COUNTIF(C$2:C106,C106)-1)</f>
        <v/>
      </c>
    </row>
    <row r="107" spans="1:5" x14ac:dyDescent="0.3">
      <c r="A107" s="5"/>
      <c r="B107" s="5"/>
      <c r="C107" s="7"/>
      <c r="D107" s="5"/>
      <c r="E107" s="5" t="str">
        <f>IF(ISBLANK(C107),"",RANK(C107,C$2:C$367,0)+COUNTIF(C$2:C107,C107)-1)</f>
        <v/>
      </c>
    </row>
    <row r="108" spans="1:5" x14ac:dyDescent="0.3">
      <c r="A108" s="5"/>
      <c r="B108" s="5"/>
      <c r="C108" s="7"/>
      <c r="D108" s="5"/>
      <c r="E108" s="5" t="str">
        <f>IF(ISBLANK(C108),"",RANK(C108,C$2:C$367,0)+COUNTIF(C$2:C108,C108)-1)</f>
        <v/>
      </c>
    </row>
    <row r="109" spans="1:5" x14ac:dyDescent="0.3">
      <c r="A109" s="5"/>
      <c r="B109" s="5"/>
      <c r="C109" s="7"/>
      <c r="D109" s="5"/>
      <c r="E109" s="5" t="str">
        <f>IF(ISBLANK(C109),"",RANK(C109,C$2:C$367,0)+COUNTIF(C$2:C109,C109)-1)</f>
        <v/>
      </c>
    </row>
    <row r="110" spans="1:5" x14ac:dyDescent="0.3">
      <c r="A110" s="5"/>
      <c r="B110" s="5"/>
      <c r="C110" s="7"/>
      <c r="D110" s="5"/>
      <c r="E110" s="5" t="str">
        <f>IF(ISBLANK(C110),"",RANK(C110,C$2:C$367,0)+COUNTIF(C$2:C110,C110)-1)</f>
        <v/>
      </c>
    </row>
    <row r="111" spans="1:5" x14ac:dyDescent="0.3">
      <c r="A111" s="5"/>
      <c r="B111" s="5"/>
      <c r="C111" s="7"/>
      <c r="D111" s="5"/>
      <c r="E111" s="5" t="str">
        <f>IF(ISBLANK(C111),"",RANK(C111,C$2:C$367,0)+COUNTIF(C$2:C111,C111)-1)</f>
        <v/>
      </c>
    </row>
    <row r="112" spans="1:5" x14ac:dyDescent="0.3">
      <c r="A112" s="5"/>
      <c r="B112" s="5"/>
      <c r="C112" s="7"/>
      <c r="D112" s="5"/>
      <c r="E112" s="5" t="str">
        <f>IF(ISBLANK(C112),"",RANK(C112,C$2:C$367,0)+COUNTIF(C$2:C112,C112)-1)</f>
        <v/>
      </c>
    </row>
    <row r="113" spans="1:5" x14ac:dyDescent="0.3">
      <c r="A113" s="5"/>
      <c r="B113" s="5"/>
      <c r="C113" s="7"/>
      <c r="D113" s="5"/>
      <c r="E113" s="5" t="str">
        <f>IF(ISBLANK(C113),"",RANK(C113,C$2:C$367,0)+COUNTIF(C$2:C113,C113)-1)</f>
        <v/>
      </c>
    </row>
    <row r="114" spans="1:5" x14ac:dyDescent="0.3">
      <c r="A114" s="5"/>
      <c r="B114" s="5"/>
      <c r="C114" s="7"/>
      <c r="D114" s="5"/>
      <c r="E114" s="5" t="str">
        <f>IF(ISBLANK(C114),"",RANK(C114,C$2:C$367,0)+COUNTIF(C$2:C114,C114)-1)</f>
        <v/>
      </c>
    </row>
    <row r="115" spans="1:5" x14ac:dyDescent="0.3">
      <c r="A115" s="5"/>
      <c r="B115" s="5"/>
      <c r="C115" s="7"/>
      <c r="D115" s="5"/>
      <c r="E115" s="5" t="str">
        <f>IF(ISBLANK(C115),"",RANK(C115,C$2:C$367,0)+COUNTIF(C$2:C115,C115)-1)</f>
        <v/>
      </c>
    </row>
    <row r="116" spans="1:5" x14ac:dyDescent="0.3">
      <c r="A116" s="5"/>
      <c r="B116" s="5"/>
      <c r="C116" s="7"/>
      <c r="D116" s="5"/>
      <c r="E116" s="5" t="str">
        <f>IF(ISBLANK(C116),"",RANK(C116,C$2:C$367,0)+COUNTIF(C$2:C116,C116)-1)</f>
        <v/>
      </c>
    </row>
    <row r="117" spans="1:5" x14ac:dyDescent="0.3">
      <c r="A117" s="5"/>
      <c r="B117" s="5"/>
      <c r="C117" s="7"/>
      <c r="D117" s="5"/>
      <c r="E117" s="5" t="str">
        <f>IF(ISBLANK(C117),"",RANK(C117,C$2:C$367,0)+COUNTIF(C$2:C117,C117)-1)</f>
        <v/>
      </c>
    </row>
    <row r="118" spans="1:5" x14ac:dyDescent="0.3">
      <c r="A118" s="5"/>
      <c r="B118" s="5"/>
      <c r="C118" s="7"/>
      <c r="D118" s="5"/>
      <c r="E118" s="5" t="str">
        <f>IF(ISBLANK(C118),"",RANK(C118,C$2:C$367,0)+COUNTIF(C$2:C118,C118)-1)</f>
        <v/>
      </c>
    </row>
    <row r="119" spans="1:5" x14ac:dyDescent="0.3">
      <c r="A119" s="5"/>
      <c r="B119" s="5"/>
      <c r="C119" s="7"/>
      <c r="D119" s="5"/>
      <c r="E119" s="5" t="str">
        <f>IF(ISBLANK(C119),"",RANK(C119,C$2:C$367,0)+COUNTIF(C$2:C119,C119)-1)</f>
        <v/>
      </c>
    </row>
    <row r="120" spans="1:5" x14ac:dyDescent="0.3">
      <c r="A120" s="5"/>
      <c r="B120" s="5"/>
      <c r="C120" s="7"/>
      <c r="D120" s="5"/>
      <c r="E120" s="5" t="str">
        <f>IF(ISBLANK(C120),"",RANK(C120,C$2:C$367,0)+COUNTIF(C$2:C120,C120)-1)</f>
        <v/>
      </c>
    </row>
    <row r="121" spans="1:5" x14ac:dyDescent="0.3">
      <c r="A121" s="5"/>
      <c r="B121" s="5"/>
      <c r="C121" s="7"/>
      <c r="D121" s="5"/>
      <c r="E121" s="5" t="str">
        <f>IF(ISBLANK(C121),"",RANK(C121,C$2:C$367,0)+COUNTIF(C$2:C121,C121)-1)</f>
        <v/>
      </c>
    </row>
    <row r="122" spans="1:5" x14ac:dyDescent="0.3">
      <c r="A122" s="5"/>
      <c r="B122" s="5"/>
      <c r="C122" s="7"/>
      <c r="D122" s="5"/>
      <c r="E122" s="5" t="str">
        <f>IF(ISBLANK(C122),"",RANK(C122,C$2:C$367,0)+COUNTIF(C$2:C122,C122)-1)</f>
        <v/>
      </c>
    </row>
    <row r="123" spans="1:5" x14ac:dyDescent="0.3">
      <c r="A123" s="5"/>
      <c r="B123" s="5"/>
      <c r="C123" s="7"/>
      <c r="D123" s="5"/>
      <c r="E123" s="5" t="str">
        <f>IF(ISBLANK(C123),"",RANK(C123,C$2:C$367,0)+COUNTIF(C$2:C123,C123)-1)</f>
        <v/>
      </c>
    </row>
    <row r="124" spans="1:5" x14ac:dyDescent="0.3">
      <c r="A124" s="5"/>
      <c r="B124" s="5"/>
      <c r="C124" s="7"/>
      <c r="D124" s="5"/>
      <c r="E124" s="5" t="str">
        <f>IF(ISBLANK(C124),"",RANK(C124,C$2:C$367,0)+COUNTIF(C$2:C124,C124)-1)</f>
        <v/>
      </c>
    </row>
    <row r="125" spans="1:5" x14ac:dyDescent="0.3">
      <c r="A125" s="5"/>
      <c r="B125" s="5"/>
      <c r="C125" s="7"/>
      <c r="D125" s="5"/>
      <c r="E125" s="5" t="str">
        <f>IF(ISBLANK(C125),"",RANK(C125,C$2:C$367,0)+COUNTIF(C$2:C125,C125)-1)</f>
        <v/>
      </c>
    </row>
    <row r="126" spans="1:5" x14ac:dyDescent="0.3">
      <c r="A126" s="5"/>
      <c r="B126" s="5"/>
      <c r="C126" s="7"/>
      <c r="D126" s="5"/>
      <c r="E126" s="5" t="str">
        <f>IF(ISBLANK(C126),"",RANK(C126,C$2:C$367,0)+COUNTIF(C$2:C126,C126)-1)</f>
        <v/>
      </c>
    </row>
    <row r="127" spans="1:5" x14ac:dyDescent="0.3">
      <c r="A127" s="5"/>
      <c r="B127" s="5"/>
      <c r="C127" s="7"/>
      <c r="D127" s="5"/>
      <c r="E127" s="5" t="str">
        <f>IF(ISBLANK(C127),"",RANK(C127,C$2:C$367,0)+COUNTIF(C$2:C127,C127)-1)</f>
        <v/>
      </c>
    </row>
    <row r="128" spans="1:5" x14ac:dyDescent="0.3">
      <c r="A128" s="5"/>
      <c r="B128" s="5"/>
      <c r="C128" s="7"/>
      <c r="D128" s="5"/>
      <c r="E128" s="5" t="str">
        <f>IF(ISBLANK(C128),"",RANK(C128,C$2:C$367,0)+COUNTIF(C$2:C128,C128)-1)</f>
        <v/>
      </c>
    </row>
    <row r="129" spans="1:5" x14ac:dyDescent="0.3">
      <c r="A129" s="5"/>
      <c r="B129" s="5"/>
      <c r="C129" s="7"/>
      <c r="D129" s="5"/>
      <c r="E129" s="5" t="str">
        <f>IF(ISBLANK(C129),"",RANK(C129,C$2:C$367,0)+COUNTIF(C$2:C129,C129)-1)</f>
        <v/>
      </c>
    </row>
    <row r="130" spans="1:5" x14ac:dyDescent="0.3">
      <c r="A130" s="5"/>
      <c r="B130" s="5"/>
      <c r="C130" s="7"/>
      <c r="D130" s="5"/>
      <c r="E130" s="5" t="str">
        <f>IF(ISBLANK(C130),"",RANK(C130,C$2:C$367,0)+COUNTIF(C$2:C130,C130)-1)</f>
        <v/>
      </c>
    </row>
    <row r="131" spans="1:5" x14ac:dyDescent="0.3">
      <c r="A131" s="5"/>
      <c r="B131" s="5"/>
      <c r="C131" s="7"/>
      <c r="D131" s="5"/>
      <c r="E131" s="5" t="str">
        <f>IF(ISBLANK(C131),"",RANK(C131,C$2:C$367,0)+COUNTIF(C$2:C131,C131)-1)</f>
        <v/>
      </c>
    </row>
    <row r="132" spans="1:5" x14ac:dyDescent="0.3">
      <c r="A132" s="5"/>
      <c r="B132" s="5"/>
      <c r="C132" s="7"/>
      <c r="D132" s="5"/>
      <c r="E132" s="5" t="str">
        <f>IF(ISBLANK(C132),"",RANK(C132,C$2:C$367,0)+COUNTIF(C$2:C132,C132)-1)</f>
        <v/>
      </c>
    </row>
    <row r="133" spans="1:5" x14ac:dyDescent="0.3">
      <c r="A133" s="5"/>
      <c r="B133" s="5"/>
      <c r="C133" s="7"/>
      <c r="D133" s="5"/>
      <c r="E133" s="5" t="str">
        <f>IF(ISBLANK(C133),"",RANK(C133,C$2:C$367,0)+COUNTIF(C$2:C133,C133)-1)</f>
        <v/>
      </c>
    </row>
    <row r="134" spans="1:5" x14ac:dyDescent="0.3">
      <c r="A134" s="5"/>
      <c r="B134" s="5"/>
      <c r="C134" s="7"/>
      <c r="D134" s="5"/>
      <c r="E134" s="5" t="str">
        <f>IF(ISBLANK(C134),"",RANK(C134,C$2:C$367,0)+COUNTIF(C$2:C134,C134)-1)</f>
        <v/>
      </c>
    </row>
    <row r="135" spans="1:5" x14ac:dyDescent="0.3">
      <c r="A135" s="5"/>
      <c r="B135" s="5"/>
      <c r="C135" s="7"/>
      <c r="D135" s="5"/>
      <c r="E135" s="5" t="str">
        <f>IF(ISBLANK(C135),"",RANK(C135,C$2:C$367,0)+COUNTIF(C$2:C135,C135)-1)</f>
        <v/>
      </c>
    </row>
    <row r="136" spans="1:5" x14ac:dyDescent="0.3">
      <c r="A136" s="5"/>
      <c r="B136" s="5"/>
      <c r="C136" s="7"/>
      <c r="D136" s="5"/>
      <c r="E136" s="5" t="str">
        <f>IF(ISBLANK(C136),"",RANK(C136,C$2:C$367,0)+COUNTIF(C$2:C136,C136)-1)</f>
        <v/>
      </c>
    </row>
    <row r="137" spans="1:5" x14ac:dyDescent="0.3">
      <c r="A137" s="5"/>
      <c r="B137" s="5"/>
      <c r="C137" s="7"/>
      <c r="D137" s="5"/>
      <c r="E137" s="5" t="str">
        <f>IF(ISBLANK(C137),"",RANK(C137,C$2:C$367,0)+COUNTIF(C$2:C137,C137)-1)</f>
        <v/>
      </c>
    </row>
    <row r="138" spans="1:5" x14ac:dyDescent="0.3">
      <c r="A138" s="5"/>
      <c r="B138" s="5"/>
      <c r="C138" s="7"/>
      <c r="D138" s="5"/>
      <c r="E138" s="5" t="str">
        <f>IF(ISBLANK(C138),"",RANK(C138,C$2:C$367,0)+COUNTIF(C$2:C138,C138)-1)</f>
        <v/>
      </c>
    </row>
    <row r="139" spans="1:5" x14ac:dyDescent="0.3">
      <c r="A139" s="5"/>
      <c r="B139" s="5"/>
      <c r="C139" s="7"/>
      <c r="D139" s="5"/>
      <c r="E139" s="5" t="str">
        <f>IF(ISBLANK(C139),"",RANK(C139,C$2:C$367,0)+COUNTIF(C$2:C139,C139)-1)</f>
        <v/>
      </c>
    </row>
    <row r="140" spans="1:5" x14ac:dyDescent="0.3">
      <c r="A140" s="5"/>
      <c r="B140" s="5"/>
      <c r="C140" s="7"/>
      <c r="D140" s="5"/>
      <c r="E140" s="5" t="str">
        <f>IF(ISBLANK(C140),"",RANK(C140,C$2:C$367,0)+COUNTIF(C$2:C140,C140)-1)</f>
        <v/>
      </c>
    </row>
    <row r="141" spans="1:5" x14ac:dyDescent="0.3">
      <c r="A141" s="5"/>
      <c r="B141" s="5"/>
      <c r="C141" s="7"/>
      <c r="D141" s="5"/>
      <c r="E141" s="5" t="str">
        <f>IF(ISBLANK(C141),"",RANK(C141,C$2:C$367,0)+COUNTIF(C$2:C141,C141)-1)</f>
        <v/>
      </c>
    </row>
    <row r="142" spans="1:5" x14ac:dyDescent="0.3">
      <c r="A142" s="5"/>
      <c r="B142" s="5"/>
      <c r="C142" s="7"/>
      <c r="D142" s="5"/>
      <c r="E142" s="5" t="str">
        <f>IF(ISBLANK(C142),"",RANK(C142,C$2:C$367,0)+COUNTIF(C$2:C142,C142)-1)</f>
        <v/>
      </c>
    </row>
    <row r="143" spans="1:5" x14ac:dyDescent="0.3">
      <c r="A143" s="5"/>
      <c r="B143" s="5"/>
      <c r="C143" s="7"/>
      <c r="D143" s="5"/>
      <c r="E143" s="5" t="str">
        <f>IF(ISBLANK(C143),"",RANK(C143,C$2:C$367,0)+COUNTIF(C$2:C143,C143)-1)</f>
        <v/>
      </c>
    </row>
    <row r="144" spans="1:5" x14ac:dyDescent="0.3">
      <c r="A144" s="5"/>
      <c r="B144" s="5"/>
      <c r="C144" s="7"/>
      <c r="D144" s="5"/>
      <c r="E144" s="5" t="str">
        <f>IF(ISBLANK(C144),"",RANK(C144,C$2:C$367,0)+COUNTIF(C$2:C144,C144)-1)</f>
        <v/>
      </c>
    </row>
    <row r="145" spans="1:5" x14ac:dyDescent="0.3">
      <c r="A145" s="5"/>
      <c r="B145" s="5"/>
      <c r="C145" s="7"/>
      <c r="D145" s="5"/>
      <c r="E145" s="5" t="str">
        <f>IF(ISBLANK(C145),"",RANK(C145,C$2:C$367,0)+COUNTIF(C$2:C145,C145)-1)</f>
        <v/>
      </c>
    </row>
    <row r="146" spans="1:5" x14ac:dyDescent="0.3">
      <c r="A146" s="5"/>
      <c r="B146" s="5"/>
      <c r="C146" s="7"/>
      <c r="D146" s="5"/>
      <c r="E146" s="5" t="str">
        <f>IF(ISBLANK(C146),"",RANK(C146,C$2:C$367,0)+COUNTIF(C$2:C146,C146)-1)</f>
        <v/>
      </c>
    </row>
    <row r="147" spans="1:5" x14ac:dyDescent="0.3">
      <c r="A147" s="5"/>
      <c r="B147" s="5"/>
      <c r="C147" s="7"/>
      <c r="D147" s="5"/>
      <c r="E147" s="5" t="str">
        <f>IF(ISBLANK(C147),"",RANK(C147,C$2:C$367,0)+COUNTIF(C$2:C147,C147)-1)</f>
        <v/>
      </c>
    </row>
    <row r="148" spans="1:5" x14ac:dyDescent="0.3">
      <c r="A148" s="5"/>
      <c r="B148" s="5"/>
      <c r="C148" s="7"/>
      <c r="D148" s="5"/>
      <c r="E148" s="5" t="str">
        <f>IF(ISBLANK(C148),"",RANK(C148,C$2:C$367,0)+COUNTIF(C$2:C148,C148)-1)</f>
        <v/>
      </c>
    </row>
    <row r="149" spans="1:5" x14ac:dyDescent="0.3">
      <c r="A149" s="5"/>
      <c r="B149" s="5"/>
      <c r="C149" s="7"/>
      <c r="D149" s="5"/>
      <c r="E149" s="5" t="str">
        <f>IF(ISBLANK(C149),"",RANK(C149,C$2:C$367,0)+COUNTIF(C$2:C149,C149)-1)</f>
        <v/>
      </c>
    </row>
    <row r="150" spans="1:5" x14ac:dyDescent="0.3">
      <c r="A150" s="5"/>
      <c r="B150" s="5"/>
      <c r="C150" s="7"/>
      <c r="D150" s="5"/>
      <c r="E150" s="5" t="str">
        <f>IF(ISBLANK(C150),"",RANK(C150,C$2:C$367,0)+COUNTIF(C$2:C150,C150)-1)</f>
        <v/>
      </c>
    </row>
    <row r="151" spans="1:5" x14ac:dyDescent="0.3">
      <c r="A151" s="5"/>
      <c r="B151" s="5"/>
      <c r="C151" s="7"/>
      <c r="D151" s="5"/>
      <c r="E151" s="5" t="str">
        <f>IF(ISBLANK(C151),"",RANK(C151,C$2:C$367,0)+COUNTIF(C$2:C151,C151)-1)</f>
        <v/>
      </c>
    </row>
    <row r="152" spans="1:5" x14ac:dyDescent="0.3">
      <c r="A152" s="5"/>
      <c r="B152" s="5"/>
      <c r="C152" s="7"/>
      <c r="D152" s="5"/>
      <c r="E152" s="5" t="str">
        <f>IF(ISBLANK(C152),"",RANK(C152,C$2:C$367,0)+COUNTIF(C$2:C152,C152)-1)</f>
        <v/>
      </c>
    </row>
    <row r="153" spans="1:5" x14ac:dyDescent="0.3">
      <c r="A153" s="5"/>
      <c r="B153" s="5"/>
      <c r="C153" s="7"/>
      <c r="D153" s="5"/>
      <c r="E153" s="5" t="str">
        <f>IF(ISBLANK(C153),"",RANK(C153,C$2:C$367,0)+COUNTIF(C$2:C153,C153)-1)</f>
        <v/>
      </c>
    </row>
    <row r="154" spans="1:5" x14ac:dyDescent="0.3">
      <c r="A154" s="5"/>
      <c r="B154" s="5"/>
      <c r="C154" s="7"/>
      <c r="D154" s="5"/>
      <c r="E154" s="5" t="str">
        <f>IF(ISBLANK(C154),"",RANK(C154,C$2:C$367,0)+COUNTIF(C$2:C154,C154)-1)</f>
        <v/>
      </c>
    </row>
    <row r="155" spans="1:5" x14ac:dyDescent="0.3">
      <c r="A155" s="5"/>
      <c r="B155" s="5"/>
      <c r="C155" s="7"/>
      <c r="D155" s="5"/>
      <c r="E155" s="5" t="str">
        <f>IF(ISBLANK(C155),"",RANK(C155,C$2:C$367,0)+COUNTIF(C$2:C155,C155)-1)</f>
        <v/>
      </c>
    </row>
    <row r="156" spans="1:5" x14ac:dyDescent="0.3">
      <c r="A156" s="5"/>
      <c r="B156" s="5"/>
      <c r="C156" s="7"/>
      <c r="D156" s="5"/>
      <c r="E156" s="5" t="str">
        <f>IF(ISBLANK(C156),"",RANK(C156,C$2:C$367,0)+COUNTIF(C$2:C156,C156)-1)</f>
        <v/>
      </c>
    </row>
    <row r="157" spans="1:5" x14ac:dyDescent="0.3">
      <c r="A157" s="5"/>
      <c r="B157" s="5"/>
      <c r="C157" s="7"/>
      <c r="D157" s="5"/>
      <c r="E157" s="5" t="str">
        <f>IF(ISBLANK(C157),"",RANK(C157,C$2:C$367,0)+COUNTIF(C$2:C157,C157)-1)</f>
        <v/>
      </c>
    </row>
    <row r="158" spans="1:5" x14ac:dyDescent="0.3">
      <c r="A158" s="5"/>
      <c r="B158" s="5"/>
      <c r="C158" s="7"/>
      <c r="D158" s="5"/>
      <c r="E158" s="5" t="str">
        <f>IF(ISBLANK(C158),"",RANK(C158,C$2:C$367,0)+COUNTIF(C$2:C158,C158)-1)</f>
        <v/>
      </c>
    </row>
    <row r="159" spans="1:5" x14ac:dyDescent="0.3">
      <c r="A159" s="5"/>
      <c r="B159" s="5"/>
      <c r="C159" s="7"/>
      <c r="D159" s="5"/>
      <c r="E159" s="5" t="str">
        <f>IF(ISBLANK(C159),"",RANK(C159,C$2:C$367,0)+COUNTIF(C$2:C159,C159)-1)</f>
        <v/>
      </c>
    </row>
    <row r="160" spans="1:5" x14ac:dyDescent="0.3">
      <c r="A160" s="5"/>
      <c r="B160" s="5"/>
      <c r="C160" s="7"/>
      <c r="D160" s="5"/>
      <c r="E160" s="5" t="str">
        <f>IF(ISBLANK(C160),"",RANK(C160,C$2:C$367,0)+COUNTIF(C$2:C160,C160)-1)</f>
        <v/>
      </c>
    </row>
    <row r="161" spans="1:5" x14ac:dyDescent="0.3">
      <c r="A161" s="5"/>
      <c r="B161" s="5"/>
      <c r="C161" s="7"/>
      <c r="D161" s="5"/>
      <c r="E161" s="5" t="str">
        <f>IF(ISBLANK(C161),"",RANK(C161,C$2:C$367,0)+COUNTIF(C$2:C161,C161)-1)</f>
        <v/>
      </c>
    </row>
    <row r="162" spans="1:5" x14ac:dyDescent="0.3">
      <c r="A162" s="5"/>
      <c r="B162" s="5"/>
      <c r="C162" s="7"/>
      <c r="D162" s="5"/>
      <c r="E162" s="5" t="str">
        <f>IF(ISBLANK(C162),"",RANK(C162,C$2:C$367,0)+COUNTIF(C$2:C162,C162)-1)</f>
        <v/>
      </c>
    </row>
    <row r="163" spans="1:5" x14ac:dyDescent="0.3">
      <c r="A163" s="5"/>
      <c r="B163" s="5"/>
      <c r="C163" s="7"/>
      <c r="D163" s="5"/>
      <c r="E163" s="5" t="str">
        <f>IF(ISBLANK(C163),"",RANK(C163,C$2:C$367,0)+COUNTIF(C$2:C163,C163)-1)</f>
        <v/>
      </c>
    </row>
    <row r="164" spans="1:5" x14ac:dyDescent="0.3">
      <c r="A164" s="5"/>
      <c r="B164" s="5"/>
      <c r="C164" s="7"/>
      <c r="D164" s="5"/>
      <c r="E164" s="5" t="str">
        <f>IF(ISBLANK(C164),"",RANK(C164,C$2:C$367,0)+COUNTIF(C$2:C164,C164)-1)</f>
        <v/>
      </c>
    </row>
    <row r="165" spans="1:5" x14ac:dyDescent="0.3">
      <c r="A165" s="5"/>
      <c r="B165" s="5"/>
      <c r="C165" s="7"/>
      <c r="D165" s="5"/>
      <c r="E165" s="5" t="str">
        <f>IF(ISBLANK(C165),"",RANK(C165,C$2:C$367,0)+COUNTIF(C$2:C165,C165)-1)</f>
        <v/>
      </c>
    </row>
    <row r="166" spans="1:5" x14ac:dyDescent="0.3">
      <c r="A166" s="5"/>
      <c r="B166" s="5"/>
      <c r="C166" s="7"/>
      <c r="D166" s="5"/>
      <c r="E166" s="5" t="str">
        <f>IF(ISBLANK(C166),"",RANK(C166,C$2:C$367,0)+COUNTIF(C$2:C166,C166)-1)</f>
        <v/>
      </c>
    </row>
    <row r="167" spans="1:5" x14ac:dyDescent="0.3">
      <c r="A167" s="5"/>
      <c r="B167" s="5"/>
      <c r="C167" s="7"/>
      <c r="D167" s="5"/>
      <c r="E167" s="5" t="str">
        <f>IF(ISBLANK(C167),"",RANK(C167,C$2:C$367,0)+COUNTIF(C$2:C167,C167)-1)</f>
        <v/>
      </c>
    </row>
    <row r="168" spans="1:5" x14ac:dyDescent="0.3">
      <c r="A168" s="5"/>
      <c r="B168" s="5"/>
      <c r="C168" s="7"/>
      <c r="D168" s="5"/>
      <c r="E168" s="5" t="str">
        <f>IF(ISBLANK(C168),"",RANK(C168,C$2:C$367,0)+COUNTIF(C$2:C168,C168)-1)</f>
        <v/>
      </c>
    </row>
    <row r="169" spans="1:5" x14ac:dyDescent="0.3">
      <c r="A169" s="5"/>
      <c r="B169" s="5"/>
      <c r="C169" s="7"/>
      <c r="D169" s="5"/>
      <c r="E169" s="5" t="str">
        <f>IF(ISBLANK(C169),"",RANK(C169,C$2:C$367,0)+COUNTIF(C$2:C169,C169)-1)</f>
        <v/>
      </c>
    </row>
    <row r="170" spans="1:5" x14ac:dyDescent="0.3">
      <c r="A170" s="5"/>
      <c r="B170" s="5"/>
      <c r="C170" s="7"/>
      <c r="D170" s="5"/>
      <c r="E170" s="5" t="str">
        <f>IF(ISBLANK(C170),"",RANK(C170,C$2:C$367,0)+COUNTIF(C$2:C170,C170)-1)</f>
        <v/>
      </c>
    </row>
    <row r="171" spans="1:5" x14ac:dyDescent="0.3">
      <c r="A171" s="5"/>
      <c r="B171" s="5"/>
      <c r="C171" s="7"/>
      <c r="D171" s="5"/>
      <c r="E171" s="5" t="str">
        <f>IF(ISBLANK(C171),"",RANK(C171,C$2:C$367,0)+COUNTIF(C$2:C171,C171)-1)</f>
        <v/>
      </c>
    </row>
    <row r="172" spans="1:5" x14ac:dyDescent="0.3">
      <c r="A172" s="5"/>
      <c r="B172" s="5"/>
      <c r="C172" s="7"/>
      <c r="D172" s="5"/>
      <c r="E172" s="5" t="str">
        <f>IF(ISBLANK(C172),"",RANK(C172,C$2:C$367,0)+COUNTIF(C$2:C172,C172)-1)</f>
        <v/>
      </c>
    </row>
    <row r="173" spans="1:5" x14ac:dyDescent="0.3">
      <c r="A173" s="5"/>
      <c r="B173" s="5"/>
      <c r="C173" s="7"/>
      <c r="D173" s="5"/>
      <c r="E173" s="5" t="str">
        <f>IF(ISBLANK(C173),"",RANK(C173,C$2:C$367,0)+COUNTIF(C$2:C173,C173)-1)</f>
        <v/>
      </c>
    </row>
    <row r="174" spans="1:5" x14ac:dyDescent="0.3">
      <c r="A174" s="5"/>
      <c r="B174" s="5"/>
      <c r="C174" s="7"/>
      <c r="D174" s="5"/>
      <c r="E174" s="5" t="str">
        <f>IF(ISBLANK(C174),"",RANK(C174,C$2:C$367,0)+COUNTIF(C$2:C174,C174)-1)</f>
        <v/>
      </c>
    </row>
    <row r="175" spans="1:5" x14ac:dyDescent="0.3">
      <c r="A175" s="5"/>
      <c r="B175" s="5"/>
      <c r="C175" s="7"/>
      <c r="D175" s="5"/>
      <c r="E175" s="5" t="str">
        <f>IF(ISBLANK(C175),"",RANK(C175,C$2:C$367,0)+COUNTIF(C$2:C175,C175)-1)</f>
        <v/>
      </c>
    </row>
    <row r="176" spans="1:5" x14ac:dyDescent="0.3">
      <c r="A176" s="5"/>
      <c r="B176" s="5"/>
      <c r="C176" s="7"/>
      <c r="D176" s="5"/>
      <c r="E176" s="5" t="str">
        <f>IF(ISBLANK(C176),"",RANK(C176,C$2:C$367,0)+COUNTIF(C$2:C176,C176)-1)</f>
        <v/>
      </c>
    </row>
    <row r="177" spans="1:5" x14ac:dyDescent="0.3">
      <c r="A177" s="5"/>
      <c r="B177" s="5"/>
      <c r="C177" s="7"/>
      <c r="D177" s="5"/>
      <c r="E177" s="5" t="str">
        <f>IF(ISBLANK(C177),"",RANK(C177,C$2:C$367,0)+COUNTIF(C$2:C177,C177)-1)</f>
        <v/>
      </c>
    </row>
    <row r="178" spans="1:5" x14ac:dyDescent="0.3">
      <c r="A178" s="5"/>
      <c r="B178" s="5"/>
      <c r="C178" s="7"/>
      <c r="D178" s="5"/>
      <c r="E178" s="5" t="str">
        <f>IF(ISBLANK(C178),"",RANK(C178,C$2:C$367,0)+COUNTIF(C$2:C178,C178)-1)</f>
        <v/>
      </c>
    </row>
    <row r="179" spans="1:5" x14ac:dyDescent="0.3">
      <c r="A179" s="5"/>
      <c r="B179" s="5"/>
      <c r="C179" s="7"/>
      <c r="D179" s="5"/>
      <c r="E179" s="5" t="str">
        <f>IF(ISBLANK(C179),"",RANK(C179,C$2:C$367,0)+COUNTIF(C$2:C179,C179)-1)</f>
        <v/>
      </c>
    </row>
    <row r="180" spans="1:5" x14ac:dyDescent="0.3">
      <c r="A180" s="5"/>
      <c r="B180" s="5"/>
      <c r="C180" s="7"/>
      <c r="D180" s="5"/>
      <c r="E180" s="5" t="str">
        <f>IF(ISBLANK(C180),"",RANK(C180,C$2:C$367,0)+COUNTIF(C$2:C180,C180)-1)</f>
        <v/>
      </c>
    </row>
    <row r="181" spans="1:5" x14ac:dyDescent="0.3">
      <c r="A181" s="5"/>
      <c r="B181" s="5"/>
      <c r="C181" s="7"/>
      <c r="D181" s="5"/>
      <c r="E181" s="5" t="str">
        <f>IF(ISBLANK(C181),"",RANK(C181,C$2:C$367,0)+COUNTIF(C$2:C181,C181)-1)</f>
        <v/>
      </c>
    </row>
    <row r="182" spans="1:5" x14ac:dyDescent="0.3">
      <c r="A182" s="5"/>
      <c r="B182" s="5"/>
      <c r="C182" s="7"/>
      <c r="D182" s="5"/>
      <c r="E182" s="5" t="str">
        <f>IF(ISBLANK(C182),"",RANK(C182,C$2:C$367,0)+COUNTIF(C$2:C182,C182)-1)</f>
        <v/>
      </c>
    </row>
    <row r="183" spans="1:5" x14ac:dyDescent="0.3">
      <c r="A183" s="5"/>
      <c r="B183" s="5"/>
      <c r="C183" s="7"/>
      <c r="D183" s="5"/>
      <c r="E183" s="5" t="str">
        <f>IF(ISBLANK(C183),"",RANK(C183,C$2:C$367,0)+COUNTIF(C$2:C183,C183)-1)</f>
        <v/>
      </c>
    </row>
    <row r="184" spans="1:5" x14ac:dyDescent="0.3">
      <c r="A184" s="5"/>
      <c r="B184" s="5"/>
      <c r="C184" s="7"/>
      <c r="D184" s="5"/>
      <c r="E184" s="5" t="str">
        <f>IF(ISBLANK(C184),"",RANK(C184,C$2:C$367,0)+COUNTIF(C$2:C184,C184)-1)</f>
        <v/>
      </c>
    </row>
    <row r="185" spans="1:5" x14ac:dyDescent="0.3">
      <c r="A185" s="5"/>
      <c r="B185" s="5"/>
      <c r="C185" s="7"/>
      <c r="D185" s="5"/>
      <c r="E185" s="5" t="str">
        <f>IF(ISBLANK(C185),"",RANK(C185,C$2:C$367,0)+COUNTIF(C$2:C185,C185)-1)</f>
        <v/>
      </c>
    </row>
    <row r="186" spans="1:5" x14ac:dyDescent="0.3">
      <c r="A186" s="5"/>
      <c r="B186" s="5"/>
      <c r="C186" s="7"/>
      <c r="D186" s="5"/>
      <c r="E186" s="5" t="str">
        <f>IF(ISBLANK(C186),"",RANK(C186,C$2:C$367,0)+COUNTIF(C$2:C186,C186)-1)</f>
        <v/>
      </c>
    </row>
    <row r="187" spans="1:5" x14ac:dyDescent="0.3">
      <c r="A187" s="5"/>
      <c r="B187" s="5"/>
      <c r="C187" s="7"/>
      <c r="D187" s="5"/>
      <c r="E187" s="5" t="str">
        <f>IF(ISBLANK(C187),"",RANK(C187,C$2:C$367,0)+COUNTIF(C$2:C187,C187)-1)</f>
        <v/>
      </c>
    </row>
    <row r="188" spans="1:5" x14ac:dyDescent="0.3">
      <c r="A188" s="5"/>
      <c r="B188" s="5"/>
      <c r="C188" s="7"/>
      <c r="D188" s="5"/>
      <c r="E188" s="5" t="str">
        <f>IF(ISBLANK(C188),"",RANK(C188,C$2:C$367,0)+COUNTIF(C$2:C188,C188)-1)</f>
        <v/>
      </c>
    </row>
    <row r="189" spans="1:5" x14ac:dyDescent="0.3">
      <c r="A189" s="5"/>
      <c r="B189" s="5"/>
      <c r="C189" s="7"/>
      <c r="D189" s="5"/>
      <c r="E189" s="5" t="str">
        <f>IF(ISBLANK(C189),"",RANK(C189,C$2:C$367,0)+COUNTIF(C$2:C189,C189)-1)</f>
        <v/>
      </c>
    </row>
    <row r="190" spans="1:5" x14ac:dyDescent="0.3">
      <c r="A190" s="5"/>
      <c r="B190" s="5"/>
      <c r="C190" s="7"/>
      <c r="D190" s="5"/>
      <c r="E190" s="5" t="str">
        <f>IF(ISBLANK(C190),"",RANK(C190,C$2:C$367,0)+COUNTIF(C$2:C190,C190)-1)</f>
        <v/>
      </c>
    </row>
    <row r="191" spans="1:5" x14ac:dyDescent="0.3">
      <c r="A191" s="5"/>
      <c r="B191" s="5"/>
      <c r="C191" s="7"/>
      <c r="D191" s="5"/>
      <c r="E191" s="5" t="str">
        <f>IF(ISBLANK(C191),"",RANK(C191,C$2:C$367,0)+COUNTIF(C$2:C191,C191)-1)</f>
        <v/>
      </c>
    </row>
    <row r="192" spans="1:5" x14ac:dyDescent="0.3">
      <c r="A192" s="5"/>
      <c r="B192" s="5"/>
      <c r="C192" s="7"/>
      <c r="D192" s="5"/>
      <c r="E192" s="5" t="str">
        <f>IF(ISBLANK(C192),"",RANK(C192,C$2:C$367,0)+COUNTIF(C$2:C192,C192)-1)</f>
        <v/>
      </c>
    </row>
    <row r="193" spans="1:5" x14ac:dyDescent="0.3">
      <c r="A193" s="5"/>
      <c r="B193" s="5"/>
      <c r="C193" s="7"/>
      <c r="D193" s="5"/>
      <c r="E193" s="5" t="str">
        <f>IF(ISBLANK(C193),"",RANK(C193,C$2:C$367,0)+COUNTIF(C$2:C193,C193)-1)</f>
        <v/>
      </c>
    </row>
    <row r="194" spans="1:5" x14ac:dyDescent="0.3">
      <c r="A194" s="5"/>
      <c r="B194" s="5"/>
      <c r="C194" s="7"/>
      <c r="D194" s="5"/>
      <c r="E194" s="5" t="str">
        <f>IF(ISBLANK(C194),"",RANK(C194,C$2:C$367,0)+COUNTIF(C$2:C194,C194)-1)</f>
        <v/>
      </c>
    </row>
    <row r="195" spans="1:5" x14ac:dyDescent="0.3">
      <c r="A195" s="5"/>
      <c r="B195" s="5"/>
      <c r="C195" s="7"/>
      <c r="D195" s="5"/>
      <c r="E195" s="5" t="str">
        <f>IF(ISBLANK(C195),"",RANK(C195,C$2:C$367,0)+COUNTIF(C$2:C195,C195)-1)</f>
        <v/>
      </c>
    </row>
    <row r="196" spans="1:5" x14ac:dyDescent="0.3">
      <c r="A196" s="5"/>
      <c r="B196" s="5"/>
      <c r="C196" s="7"/>
      <c r="D196" s="5"/>
      <c r="E196" s="5" t="str">
        <f>IF(ISBLANK(C196),"",RANK(C196,C$2:C$367,0)+COUNTIF(C$2:C196,C196)-1)</f>
        <v/>
      </c>
    </row>
    <row r="197" spans="1:5" x14ac:dyDescent="0.3">
      <c r="A197" s="5"/>
      <c r="B197" s="5"/>
      <c r="C197" s="7"/>
      <c r="D197" s="5"/>
      <c r="E197" s="5" t="str">
        <f>IF(ISBLANK(C197),"",RANK(C197,C$2:C$367,0)+COUNTIF(C$2:C197,C197)-1)</f>
        <v/>
      </c>
    </row>
    <row r="198" spans="1:5" x14ac:dyDescent="0.3">
      <c r="A198" s="5"/>
      <c r="B198" s="5"/>
      <c r="C198" s="7"/>
      <c r="D198" s="5"/>
      <c r="E198" s="5" t="str">
        <f>IF(ISBLANK(C198),"",RANK(C198,C$2:C$367,0)+COUNTIF(C$2:C198,C198)-1)</f>
        <v/>
      </c>
    </row>
    <row r="199" spans="1:5" x14ac:dyDescent="0.3">
      <c r="A199" s="5"/>
      <c r="B199" s="5"/>
      <c r="C199" s="7"/>
      <c r="D199" s="5"/>
      <c r="E199" s="5" t="str">
        <f>IF(ISBLANK(C199),"",RANK(C199,C$2:C$367,0)+COUNTIF(C$2:C199,C199)-1)</f>
        <v/>
      </c>
    </row>
    <row r="200" spans="1:5" x14ac:dyDescent="0.3">
      <c r="A200" s="5"/>
      <c r="B200" s="5"/>
      <c r="C200" s="7"/>
      <c r="D200" s="5"/>
      <c r="E200" s="5" t="str">
        <f>IF(ISBLANK(C200),"",RANK(C200,C$2:C$367,0)+COUNTIF(C$2:C200,C200)-1)</f>
        <v/>
      </c>
    </row>
    <row r="201" spans="1:5" x14ac:dyDescent="0.3">
      <c r="A201" s="5"/>
      <c r="B201" s="5"/>
      <c r="C201" s="7"/>
      <c r="D201" s="5"/>
      <c r="E201" s="5" t="str">
        <f>IF(ISBLANK(C201),"",RANK(C201,C$2:C$367,0)+COUNTIF(C$2:C201,C201)-1)</f>
        <v/>
      </c>
    </row>
    <row r="202" spans="1:5" x14ac:dyDescent="0.3">
      <c r="A202" s="5"/>
      <c r="B202" s="5"/>
      <c r="C202" s="7"/>
      <c r="D202" s="5"/>
      <c r="E202" s="5" t="str">
        <f>IF(ISBLANK(C202),"",RANK(C202,C$2:C$367,0)+COUNTIF(C$2:C202,C202)-1)</f>
        <v/>
      </c>
    </row>
    <row r="203" spans="1:5" x14ac:dyDescent="0.3">
      <c r="A203" s="5"/>
      <c r="B203" s="5"/>
      <c r="C203" s="7"/>
      <c r="D203" s="5"/>
      <c r="E203" s="5" t="str">
        <f>IF(ISBLANK(C203),"",RANK(C203,C$2:C$367,0)+COUNTIF(C$2:C203,C203)-1)</f>
        <v/>
      </c>
    </row>
    <row r="204" spans="1:5" x14ac:dyDescent="0.3">
      <c r="A204" s="5"/>
      <c r="B204" s="5"/>
      <c r="C204" s="7"/>
      <c r="D204" s="5"/>
      <c r="E204" s="5" t="str">
        <f>IF(ISBLANK(C204),"",RANK(C204,C$2:C$367,0)+COUNTIF(C$2:C204,C204)-1)</f>
        <v/>
      </c>
    </row>
    <row r="205" spans="1:5" x14ac:dyDescent="0.3">
      <c r="A205" s="5"/>
      <c r="B205" s="5"/>
      <c r="C205" s="7"/>
      <c r="D205" s="5"/>
      <c r="E205" s="5" t="str">
        <f>IF(ISBLANK(C205),"",RANK(C205,C$2:C$367,0)+COUNTIF(C$2:C205,C205)-1)</f>
        <v/>
      </c>
    </row>
    <row r="206" spans="1:5" x14ac:dyDescent="0.3">
      <c r="A206" s="5"/>
      <c r="B206" s="5"/>
      <c r="C206" s="7"/>
      <c r="D206" s="5"/>
      <c r="E206" s="5" t="str">
        <f>IF(ISBLANK(C206),"",RANK(C206,C$2:C$367,0)+COUNTIF(C$2:C206,C206)-1)</f>
        <v/>
      </c>
    </row>
    <row r="207" spans="1:5" x14ac:dyDescent="0.3">
      <c r="A207" s="5"/>
      <c r="B207" s="5"/>
      <c r="C207" s="7"/>
      <c r="D207" s="5"/>
      <c r="E207" s="5" t="str">
        <f>IF(ISBLANK(C207),"",RANK(C207,C$2:C$367,0)+COUNTIF(C$2:C207,C207)-1)</f>
        <v/>
      </c>
    </row>
    <row r="208" spans="1:5" x14ac:dyDescent="0.3">
      <c r="A208" s="5"/>
      <c r="B208" s="5"/>
      <c r="C208" s="7"/>
      <c r="D208" s="5"/>
      <c r="E208" s="5" t="str">
        <f>IF(ISBLANK(C208),"",RANK(C208,C$2:C$367,0)+COUNTIF(C$2:C208,C208)-1)</f>
        <v/>
      </c>
    </row>
    <row r="209" spans="1:5" x14ac:dyDescent="0.3">
      <c r="A209" s="5"/>
      <c r="B209" s="5"/>
      <c r="C209" s="7"/>
      <c r="D209" s="5"/>
      <c r="E209" s="5" t="str">
        <f>IF(ISBLANK(C209),"",RANK(C209,C$2:C$367,0)+COUNTIF(C$2:C209,C209)-1)</f>
        <v/>
      </c>
    </row>
    <row r="210" spans="1:5" x14ac:dyDescent="0.3">
      <c r="A210" s="5"/>
      <c r="B210" s="5"/>
      <c r="C210" s="7"/>
      <c r="D210" s="5"/>
      <c r="E210" s="5" t="str">
        <f>IF(ISBLANK(C210),"",RANK(C210,C$2:C$367,0)+COUNTIF(C$2:C210,C210)-1)</f>
        <v/>
      </c>
    </row>
    <row r="211" spans="1:5" x14ac:dyDescent="0.3">
      <c r="A211" s="5"/>
      <c r="B211" s="5"/>
      <c r="C211" s="7"/>
      <c r="D211" s="5"/>
      <c r="E211" s="5" t="str">
        <f>IF(ISBLANK(C211),"",RANK(C211,C$2:C$367,0)+COUNTIF(C$2:C211,C211)-1)</f>
        <v/>
      </c>
    </row>
    <row r="212" spans="1:5" x14ac:dyDescent="0.3">
      <c r="A212" s="5"/>
      <c r="B212" s="5"/>
      <c r="C212" s="7"/>
      <c r="D212" s="5"/>
      <c r="E212" s="5" t="str">
        <f>IF(ISBLANK(C212),"",RANK(C212,C$2:C$367,0)+COUNTIF(C$2:C212,C212)-1)</f>
        <v/>
      </c>
    </row>
    <row r="213" spans="1:5" x14ac:dyDescent="0.3">
      <c r="A213" s="5"/>
      <c r="B213" s="5"/>
      <c r="C213" s="7"/>
      <c r="D213" s="5"/>
      <c r="E213" s="5" t="str">
        <f>IF(ISBLANK(C213),"",RANK(C213,C$2:C$367,0)+COUNTIF(C$2:C213,C213)-1)</f>
        <v/>
      </c>
    </row>
    <row r="214" spans="1:5" x14ac:dyDescent="0.3">
      <c r="A214" s="5"/>
      <c r="B214" s="5"/>
      <c r="C214" s="7"/>
      <c r="D214" s="5"/>
      <c r="E214" s="5" t="str">
        <f>IF(ISBLANK(C214),"",RANK(C214,C$2:C$367,0)+COUNTIF(C$2:C214,C214)-1)</f>
        <v/>
      </c>
    </row>
    <row r="215" spans="1:5" x14ac:dyDescent="0.3">
      <c r="A215" s="5"/>
      <c r="B215" s="5"/>
      <c r="C215" s="7"/>
      <c r="D215" s="5"/>
      <c r="E215" s="5" t="str">
        <f>IF(ISBLANK(C215),"",RANK(C215,C$2:C$367,0)+COUNTIF(C$2:C215,C215)-1)</f>
        <v/>
      </c>
    </row>
    <row r="216" spans="1:5" x14ac:dyDescent="0.3">
      <c r="A216" s="5"/>
      <c r="B216" s="5"/>
      <c r="C216" s="7"/>
      <c r="D216" s="5"/>
      <c r="E216" s="5" t="str">
        <f>IF(ISBLANK(C216),"",RANK(C216,C$2:C$367,0)+COUNTIF(C$2:C216,C216)-1)</f>
        <v/>
      </c>
    </row>
    <row r="217" spans="1:5" x14ac:dyDescent="0.3">
      <c r="A217" s="5"/>
      <c r="B217" s="5"/>
      <c r="C217" s="7"/>
      <c r="D217" s="5"/>
      <c r="E217" s="5" t="str">
        <f>IF(ISBLANK(C217),"",RANK(C217,C$2:C$367,0)+COUNTIF(C$2:C217,C217)-1)</f>
        <v/>
      </c>
    </row>
    <row r="218" spans="1:5" x14ac:dyDescent="0.3">
      <c r="A218" s="5"/>
      <c r="B218" s="5"/>
      <c r="C218" s="7"/>
      <c r="D218" s="5"/>
      <c r="E218" s="5" t="str">
        <f>IF(ISBLANK(C218),"",RANK(C218,C$2:C$367,0)+COUNTIF(C$2:C218,C218)-1)</f>
        <v/>
      </c>
    </row>
    <row r="219" spans="1:5" x14ac:dyDescent="0.3">
      <c r="A219" s="5"/>
      <c r="B219" s="5"/>
      <c r="C219" s="7"/>
      <c r="D219" s="5"/>
      <c r="E219" s="5" t="str">
        <f>IF(ISBLANK(C219),"",RANK(C219,C$2:C$367,0)+COUNTIF(C$2:C219,C219)-1)</f>
        <v/>
      </c>
    </row>
    <row r="220" spans="1:5" x14ac:dyDescent="0.3">
      <c r="A220" s="5"/>
      <c r="B220" s="5"/>
      <c r="C220" s="7"/>
      <c r="D220" s="5"/>
      <c r="E220" s="5" t="str">
        <f>IF(ISBLANK(C220),"",RANK(C220,C$2:C$367,0)+COUNTIF(C$2:C220,C220)-1)</f>
        <v/>
      </c>
    </row>
    <row r="221" spans="1:5" x14ac:dyDescent="0.3">
      <c r="A221" s="5"/>
      <c r="B221" s="5"/>
      <c r="C221" s="7"/>
      <c r="D221" s="5"/>
      <c r="E221" s="5" t="str">
        <f>IF(ISBLANK(C221),"",RANK(C221,C$2:C$367,0)+COUNTIF(C$2:C221,C221)-1)</f>
        <v/>
      </c>
    </row>
    <row r="222" spans="1:5" x14ac:dyDescent="0.3">
      <c r="A222" s="5"/>
      <c r="B222" s="5"/>
      <c r="C222" s="7"/>
      <c r="D222" s="5"/>
      <c r="E222" s="5" t="str">
        <f>IF(ISBLANK(C222),"",RANK(C222,C$2:C$367,0)+COUNTIF(C$2:C222,C222)-1)</f>
        <v/>
      </c>
    </row>
    <row r="223" spans="1:5" x14ac:dyDescent="0.3">
      <c r="A223" s="5"/>
      <c r="B223" s="5"/>
      <c r="C223" s="7"/>
      <c r="D223" s="5"/>
      <c r="E223" s="5" t="str">
        <f>IF(ISBLANK(C223),"",RANK(C223,C$2:C$367,0)+COUNTIF(C$2:C223,C223)-1)</f>
        <v/>
      </c>
    </row>
    <row r="224" spans="1:5" x14ac:dyDescent="0.3">
      <c r="A224" s="5"/>
      <c r="B224" s="5"/>
      <c r="C224" s="7"/>
      <c r="D224" s="5"/>
      <c r="E224" s="5" t="str">
        <f>IF(ISBLANK(C224),"",RANK(C224,C$2:C$367,0)+COUNTIF(C$2:C224,C224)-1)</f>
        <v/>
      </c>
    </row>
    <row r="225" spans="1:5" x14ac:dyDescent="0.3">
      <c r="A225" s="5"/>
      <c r="B225" s="5"/>
      <c r="C225" s="7"/>
      <c r="D225" s="5"/>
      <c r="E225" s="5" t="str">
        <f>IF(ISBLANK(C225),"",RANK(C225,C$2:C$367,0)+COUNTIF(C$2:C225,C225)-1)</f>
        <v/>
      </c>
    </row>
    <row r="226" spans="1:5" x14ac:dyDescent="0.3">
      <c r="A226" s="5"/>
      <c r="B226" s="5"/>
      <c r="C226" s="7"/>
      <c r="D226" s="5"/>
      <c r="E226" s="5" t="str">
        <f>IF(ISBLANK(C226),"",RANK(C226,C$2:C$367,0)+COUNTIF(C$2:C226,C226)-1)</f>
        <v/>
      </c>
    </row>
    <row r="227" spans="1:5" x14ac:dyDescent="0.3">
      <c r="A227" s="5"/>
      <c r="B227" s="5"/>
      <c r="C227" s="7"/>
      <c r="D227" s="5"/>
      <c r="E227" s="5" t="str">
        <f>IF(ISBLANK(C227),"",RANK(C227,C$2:C$367,0)+COUNTIF(C$2:C227,C227)-1)</f>
        <v/>
      </c>
    </row>
    <row r="228" spans="1:5" x14ac:dyDescent="0.3">
      <c r="A228" s="5"/>
      <c r="B228" s="5"/>
      <c r="C228" s="7"/>
      <c r="D228" s="5"/>
      <c r="E228" s="5" t="str">
        <f>IF(ISBLANK(C228),"",RANK(C228,C$2:C$367,0)+COUNTIF(C$2:C228,C228)-1)</f>
        <v/>
      </c>
    </row>
    <row r="229" spans="1:5" x14ac:dyDescent="0.3">
      <c r="A229" s="5"/>
      <c r="B229" s="5"/>
      <c r="C229" s="7"/>
      <c r="D229" s="5"/>
      <c r="E229" s="5" t="str">
        <f>IF(ISBLANK(C229),"",RANK(C229,C$2:C$367,0)+COUNTIF(C$2:C229,C229)-1)</f>
        <v/>
      </c>
    </row>
    <row r="230" spans="1:5" x14ac:dyDescent="0.3">
      <c r="A230" s="5"/>
      <c r="B230" s="5"/>
      <c r="C230" s="7"/>
      <c r="D230" s="5"/>
      <c r="E230" s="5" t="str">
        <f>IF(ISBLANK(C230),"",RANK(C230,C$2:C$367,0)+COUNTIF(C$2:C230,C230)-1)</f>
        <v/>
      </c>
    </row>
    <row r="231" spans="1:5" x14ac:dyDescent="0.3">
      <c r="A231" s="5"/>
      <c r="B231" s="5"/>
      <c r="C231" s="7"/>
      <c r="D231" s="5"/>
      <c r="E231" s="5" t="str">
        <f>IF(ISBLANK(C231),"",RANK(C231,C$2:C$367,0)+COUNTIF(C$2:C231,C231)-1)</f>
        <v/>
      </c>
    </row>
    <row r="232" spans="1:5" x14ac:dyDescent="0.3">
      <c r="A232" s="5"/>
      <c r="B232" s="5"/>
      <c r="C232" s="7"/>
      <c r="D232" s="5"/>
      <c r="E232" s="5" t="str">
        <f>IF(ISBLANK(C232),"",RANK(C232,C$2:C$367,0)+COUNTIF(C$2:C232,C232)-1)</f>
        <v/>
      </c>
    </row>
    <row r="233" spans="1:5" x14ac:dyDescent="0.3">
      <c r="A233" s="5"/>
      <c r="B233" s="5"/>
      <c r="C233" s="7"/>
      <c r="D233" s="5"/>
      <c r="E233" s="5" t="str">
        <f>IF(ISBLANK(C233),"",RANK(C233,C$2:C$367,0)+COUNTIF(C$2:C233,C233)-1)</f>
        <v/>
      </c>
    </row>
    <row r="234" spans="1:5" x14ac:dyDescent="0.3">
      <c r="A234" s="5"/>
      <c r="B234" s="5"/>
      <c r="C234" s="7"/>
      <c r="D234" s="5"/>
      <c r="E234" s="5" t="str">
        <f>IF(ISBLANK(C234),"",RANK(C234,C$2:C$367,0)+COUNTIF(C$2:C234,C234)-1)</f>
        <v/>
      </c>
    </row>
    <row r="235" spans="1:5" x14ac:dyDescent="0.3">
      <c r="A235" s="5"/>
      <c r="B235" s="5"/>
      <c r="C235" s="7"/>
      <c r="D235" s="5"/>
      <c r="E235" s="5" t="str">
        <f>IF(ISBLANK(C235),"",RANK(C235,C$2:C$367,0)+COUNTIF(C$2:C235,C235)-1)</f>
        <v/>
      </c>
    </row>
    <row r="236" spans="1:5" x14ac:dyDescent="0.3">
      <c r="A236" s="5"/>
      <c r="B236" s="5"/>
      <c r="C236" s="7"/>
      <c r="D236" s="5"/>
      <c r="E236" s="5" t="str">
        <f>IF(ISBLANK(C236),"",RANK(C236,C$2:C$367,0)+COUNTIF(C$2:C236,C236)-1)</f>
        <v/>
      </c>
    </row>
    <row r="237" spans="1:5" x14ac:dyDescent="0.3">
      <c r="A237" s="5"/>
      <c r="B237" s="5"/>
      <c r="C237" s="7"/>
      <c r="D237" s="5"/>
      <c r="E237" s="5" t="str">
        <f>IF(ISBLANK(C237),"",RANK(C237,C$2:C$367,0)+COUNTIF(C$2:C237,C237)-1)</f>
        <v/>
      </c>
    </row>
    <row r="238" spans="1:5" x14ac:dyDescent="0.3">
      <c r="A238" s="5"/>
      <c r="B238" s="5"/>
      <c r="C238" s="7"/>
      <c r="D238" s="5"/>
      <c r="E238" s="5" t="str">
        <f>IF(ISBLANK(C238),"",RANK(C238,C$2:C$367,0)+COUNTIF(C$2:C238,C238)-1)</f>
        <v/>
      </c>
    </row>
    <row r="239" spans="1:5" x14ac:dyDescent="0.3">
      <c r="A239" s="5"/>
      <c r="B239" s="5"/>
      <c r="C239" s="7"/>
      <c r="D239" s="5"/>
      <c r="E239" s="5" t="str">
        <f>IF(ISBLANK(C239),"",RANK(C239,C$2:C$367,0)+COUNTIF(C$2:C239,C239)-1)</f>
        <v/>
      </c>
    </row>
    <row r="240" spans="1:5" x14ac:dyDescent="0.3">
      <c r="A240" s="5"/>
      <c r="B240" s="5"/>
      <c r="C240" s="7"/>
      <c r="D240" s="5"/>
      <c r="E240" s="5" t="str">
        <f>IF(ISBLANK(C240),"",RANK(C240,C$2:C$367,0)+COUNTIF(C$2:C240,C240)-1)</f>
        <v/>
      </c>
    </row>
    <row r="241" spans="1:5" x14ac:dyDescent="0.3">
      <c r="A241" s="5"/>
      <c r="B241" s="5"/>
      <c r="C241" s="7"/>
      <c r="D241" s="5"/>
      <c r="E241" s="5" t="str">
        <f>IF(ISBLANK(C241),"",RANK(C241,C$2:C$367,0)+COUNTIF(C$2:C241,C241)-1)</f>
        <v/>
      </c>
    </row>
    <row r="242" spans="1:5" x14ac:dyDescent="0.3">
      <c r="A242" s="5"/>
      <c r="B242" s="5"/>
      <c r="C242" s="7"/>
      <c r="D242" s="5"/>
      <c r="E242" s="5" t="str">
        <f>IF(ISBLANK(C242),"",RANK(C242,C$2:C$367,0)+COUNTIF(C$2:C242,C242)-1)</f>
        <v/>
      </c>
    </row>
    <row r="243" spans="1:5" x14ac:dyDescent="0.3">
      <c r="A243" s="5"/>
      <c r="B243" s="5"/>
      <c r="C243" s="7"/>
      <c r="D243" s="5"/>
      <c r="E243" s="5" t="str">
        <f>IF(ISBLANK(C243),"",RANK(C243,C$2:C$367,0)+COUNTIF(C$2:C243,C243)-1)</f>
        <v/>
      </c>
    </row>
    <row r="244" spans="1:5" x14ac:dyDescent="0.3">
      <c r="A244" s="5"/>
      <c r="B244" s="5"/>
      <c r="C244" s="7"/>
      <c r="D244" s="5"/>
      <c r="E244" s="5" t="str">
        <f>IF(ISBLANK(C244),"",RANK(C244,C$2:C$367,0)+COUNTIF(C$2:C244,C244)-1)</f>
        <v/>
      </c>
    </row>
    <row r="245" spans="1:5" x14ac:dyDescent="0.3">
      <c r="A245" s="5"/>
      <c r="B245" s="5"/>
      <c r="C245" s="7"/>
      <c r="D245" s="5"/>
      <c r="E245" s="5" t="str">
        <f>IF(ISBLANK(C245),"",RANK(C245,C$2:C$367,0)+COUNTIF(C$2:C245,C245)-1)</f>
        <v/>
      </c>
    </row>
    <row r="246" spans="1:5" x14ac:dyDescent="0.3">
      <c r="A246" s="5"/>
      <c r="B246" s="5"/>
      <c r="C246" s="7"/>
      <c r="D246" s="5"/>
      <c r="E246" s="5" t="str">
        <f>IF(ISBLANK(C246),"",RANK(C246,C$2:C$367,0)+COUNTIF(C$2:C246,C246)-1)</f>
        <v/>
      </c>
    </row>
    <row r="247" spans="1:5" x14ac:dyDescent="0.3">
      <c r="A247" s="5"/>
      <c r="B247" s="5"/>
      <c r="C247" s="7"/>
      <c r="D247" s="5"/>
      <c r="E247" s="5" t="str">
        <f>IF(ISBLANK(C247),"",RANK(C247,C$2:C$367,0)+COUNTIF(C$2:C247,C247)-1)</f>
        <v/>
      </c>
    </row>
    <row r="248" spans="1:5" x14ac:dyDescent="0.3">
      <c r="A248" s="5"/>
      <c r="B248" s="5"/>
      <c r="C248" s="7"/>
      <c r="D248" s="5"/>
      <c r="E248" s="5" t="str">
        <f>IF(ISBLANK(C248),"",RANK(C248,C$2:C$367,0)+COUNTIF(C$2:C248,C248)-1)</f>
        <v/>
      </c>
    </row>
    <row r="249" spans="1:5" x14ac:dyDescent="0.3">
      <c r="A249" s="5"/>
      <c r="B249" s="5"/>
      <c r="C249" s="7"/>
      <c r="D249" s="5"/>
      <c r="E249" s="5" t="str">
        <f>IF(ISBLANK(C249),"",RANK(C249,C$2:C$367,0)+COUNTIF(C$2:C249,C249)-1)</f>
        <v/>
      </c>
    </row>
    <row r="250" spans="1:5" x14ac:dyDescent="0.3">
      <c r="A250" s="5"/>
      <c r="B250" s="5"/>
      <c r="C250" s="7"/>
      <c r="D250" s="5"/>
      <c r="E250" s="5" t="str">
        <f>IF(ISBLANK(C250),"",RANK(C250,C$2:C$367,0)+COUNTIF(C$2:C250,C250)-1)</f>
        <v/>
      </c>
    </row>
    <row r="251" spans="1:5" x14ac:dyDescent="0.3">
      <c r="A251" s="5"/>
      <c r="B251" s="5"/>
      <c r="C251" s="7"/>
      <c r="D251" s="5"/>
      <c r="E251" s="5" t="str">
        <f>IF(ISBLANK(C251),"",RANK(C251,C$2:C$367,0)+COUNTIF(C$2:C251,C251)-1)</f>
        <v/>
      </c>
    </row>
    <row r="252" spans="1:5" x14ac:dyDescent="0.3">
      <c r="A252" s="5"/>
      <c r="B252" s="5"/>
      <c r="C252" s="7"/>
      <c r="D252" s="5"/>
      <c r="E252" s="5" t="str">
        <f>IF(ISBLANK(C252),"",RANK(C252,C$2:C$367,0)+COUNTIF(C$2:C252,C252)-1)</f>
        <v/>
      </c>
    </row>
    <row r="253" spans="1:5" x14ac:dyDescent="0.3">
      <c r="A253" s="5"/>
      <c r="B253" s="5"/>
      <c r="C253" s="7"/>
      <c r="D253" s="5"/>
      <c r="E253" s="5" t="str">
        <f>IF(ISBLANK(C253),"",RANK(C253,C$2:C$367,0)+COUNTIF(C$2:C253,C253)-1)</f>
        <v/>
      </c>
    </row>
    <row r="254" spans="1:5" x14ac:dyDescent="0.3">
      <c r="A254" s="5"/>
      <c r="B254" s="5"/>
      <c r="C254" s="7"/>
      <c r="D254" s="5"/>
      <c r="E254" s="5" t="str">
        <f>IF(ISBLANK(C254),"",RANK(C254,C$2:C$367,0)+COUNTIF(C$2:C254,C254)-1)</f>
        <v/>
      </c>
    </row>
    <row r="255" spans="1:5" x14ac:dyDescent="0.3">
      <c r="A255" s="5"/>
      <c r="B255" s="5"/>
      <c r="C255" s="7"/>
      <c r="D255" s="5"/>
      <c r="E255" s="5" t="str">
        <f>IF(ISBLANK(C255),"",RANK(C255,C$2:C$367,0)+COUNTIF(C$2:C255,C255)-1)</f>
        <v/>
      </c>
    </row>
    <row r="256" spans="1:5" x14ac:dyDescent="0.3">
      <c r="A256" s="5"/>
      <c r="B256" s="5"/>
      <c r="C256" s="7"/>
      <c r="D256" s="5"/>
      <c r="E256" s="5" t="str">
        <f>IF(ISBLANK(C256),"",RANK(C256,C$2:C$367,0)+COUNTIF(C$2:C256,C256)-1)</f>
        <v/>
      </c>
    </row>
    <row r="257" spans="1:5" x14ac:dyDescent="0.3">
      <c r="A257" s="5"/>
      <c r="B257" s="5"/>
      <c r="C257" s="7"/>
      <c r="D257" s="5"/>
      <c r="E257" s="5" t="str">
        <f>IF(ISBLANK(C257),"",RANK(C257,C$2:C$367,0)+COUNTIF(C$2:C257,C257)-1)</f>
        <v/>
      </c>
    </row>
    <row r="258" spans="1:5" x14ac:dyDescent="0.3">
      <c r="A258" s="5"/>
      <c r="B258" s="5"/>
      <c r="C258" s="7"/>
      <c r="D258" s="5"/>
      <c r="E258" s="5" t="str">
        <f>IF(ISBLANK(C258),"",RANK(C258,C$2:C$367,0)+COUNTIF(C$2:C258,C258)-1)</f>
        <v/>
      </c>
    </row>
    <row r="259" spans="1:5" x14ac:dyDescent="0.3">
      <c r="A259" s="5"/>
      <c r="B259" s="5"/>
      <c r="C259" s="7"/>
      <c r="D259" s="5"/>
      <c r="E259" s="5" t="str">
        <f>IF(ISBLANK(C259),"",RANK(C259,C$2:C$367,0)+COUNTIF(C$2:C259,C259)-1)</f>
        <v/>
      </c>
    </row>
    <row r="260" spans="1:5" x14ac:dyDescent="0.3">
      <c r="A260" s="5"/>
      <c r="B260" s="5"/>
      <c r="C260" s="7"/>
      <c r="D260" s="5"/>
      <c r="E260" s="5" t="str">
        <f>IF(ISBLANK(C260),"",RANK(C260,C$2:C$367,0)+COUNTIF(C$2:C260,C260)-1)</f>
        <v/>
      </c>
    </row>
    <row r="261" spans="1:5" x14ac:dyDescent="0.3">
      <c r="A261" s="5"/>
      <c r="B261" s="5"/>
      <c r="C261" s="7"/>
      <c r="D261" s="5"/>
      <c r="E261" s="5" t="str">
        <f>IF(ISBLANK(C261),"",RANK(C261,C$2:C$367,0)+COUNTIF(C$2:C261,C261)-1)</f>
        <v/>
      </c>
    </row>
    <row r="262" spans="1:5" x14ac:dyDescent="0.3">
      <c r="A262" s="5"/>
      <c r="B262" s="5"/>
      <c r="C262" s="7"/>
      <c r="D262" s="5"/>
      <c r="E262" s="5" t="str">
        <f>IF(ISBLANK(C262),"",RANK(C262,C$2:C$367,0)+COUNTIF(C$2:C262,C262)-1)</f>
        <v/>
      </c>
    </row>
    <row r="263" spans="1:5" x14ac:dyDescent="0.3">
      <c r="A263" s="5"/>
      <c r="B263" s="5"/>
      <c r="C263" s="7"/>
      <c r="D263" s="5"/>
      <c r="E263" s="5" t="str">
        <f>IF(ISBLANK(C263),"",RANK(C263,C$2:C$367,0)+COUNTIF(C$2:C263,C263)-1)</f>
        <v/>
      </c>
    </row>
    <row r="264" spans="1:5" x14ac:dyDescent="0.3">
      <c r="A264" s="5"/>
      <c r="B264" s="5"/>
      <c r="C264" s="7"/>
      <c r="D264" s="5"/>
      <c r="E264" s="5" t="str">
        <f>IF(ISBLANK(C264),"",RANK(C264,C$2:C$367,0)+COUNTIF(C$2:C264,C264)-1)</f>
        <v/>
      </c>
    </row>
    <row r="265" spans="1:5" x14ac:dyDescent="0.3">
      <c r="A265" s="5"/>
      <c r="B265" s="5"/>
      <c r="C265" s="7"/>
      <c r="D265" s="5"/>
      <c r="E265" s="5" t="str">
        <f>IF(ISBLANK(C265),"",RANK(C265,C$2:C$367,0)+COUNTIF(C$2:C265,C265)-1)</f>
        <v/>
      </c>
    </row>
    <row r="266" spans="1:5" x14ac:dyDescent="0.3">
      <c r="A266" s="5"/>
      <c r="B266" s="5"/>
      <c r="C266" s="7"/>
      <c r="D266" s="5"/>
      <c r="E266" s="5" t="str">
        <f>IF(ISBLANK(C266),"",RANK(C266,C$2:C$367,0)+COUNTIF(C$2:C266,C266)-1)</f>
        <v/>
      </c>
    </row>
    <row r="267" spans="1:5" x14ac:dyDescent="0.3">
      <c r="A267" s="5"/>
      <c r="B267" s="5"/>
      <c r="C267" s="7"/>
      <c r="D267" s="5"/>
      <c r="E267" s="5" t="str">
        <f>IF(ISBLANK(C267),"",RANK(C267,C$2:C$367,0)+COUNTIF(C$2:C267,C267)-1)</f>
        <v/>
      </c>
    </row>
    <row r="268" spans="1:5" x14ac:dyDescent="0.3">
      <c r="A268" s="5"/>
      <c r="B268" s="5"/>
      <c r="C268" s="7"/>
      <c r="D268" s="5"/>
      <c r="E268" s="5" t="str">
        <f>IF(ISBLANK(C268),"",RANK(C268,C$2:C$367,0)+COUNTIF(C$2:C268,C268)-1)</f>
        <v/>
      </c>
    </row>
    <row r="269" spans="1:5" x14ac:dyDescent="0.3">
      <c r="A269" s="5"/>
      <c r="B269" s="5"/>
      <c r="C269" s="7"/>
      <c r="D269" s="5"/>
      <c r="E269" s="5" t="str">
        <f>IF(ISBLANK(C269),"",RANK(C269,C$2:C$367,0)+COUNTIF(C$2:C269,C269)-1)</f>
        <v/>
      </c>
    </row>
    <row r="270" spans="1:5" x14ac:dyDescent="0.3">
      <c r="A270" s="5"/>
      <c r="B270" s="5"/>
      <c r="C270" s="7"/>
      <c r="D270" s="5"/>
      <c r="E270" s="5" t="str">
        <f>IF(ISBLANK(C270),"",RANK(C270,C$2:C$367,0)+COUNTIF(C$2:C270,C270)-1)</f>
        <v/>
      </c>
    </row>
    <row r="271" spans="1:5" x14ac:dyDescent="0.3">
      <c r="A271" s="5"/>
      <c r="B271" s="5"/>
      <c r="C271" s="7"/>
      <c r="D271" s="5"/>
      <c r="E271" s="5" t="str">
        <f>IF(ISBLANK(C271),"",RANK(C271,C$2:C$367,0)+COUNTIF(C$2:C271,C271)-1)</f>
        <v/>
      </c>
    </row>
    <row r="272" spans="1:5" x14ac:dyDescent="0.3">
      <c r="A272" s="5"/>
      <c r="B272" s="5"/>
      <c r="C272" s="7"/>
      <c r="D272" s="5"/>
      <c r="E272" s="5" t="str">
        <f>IF(ISBLANK(C272),"",RANK(C272,C$2:C$367,0)+COUNTIF(C$2:C272,C272)-1)</f>
        <v/>
      </c>
    </row>
    <row r="273" spans="1:5" x14ac:dyDescent="0.3">
      <c r="A273" s="5"/>
      <c r="B273" s="5"/>
      <c r="C273" s="7"/>
      <c r="D273" s="5"/>
      <c r="E273" s="5" t="str">
        <f>IF(ISBLANK(C273),"",RANK(C273,C$2:C$367,0)+COUNTIF(C$2:C273,C273)-1)</f>
        <v/>
      </c>
    </row>
    <row r="274" spans="1:5" x14ac:dyDescent="0.3">
      <c r="A274" s="5"/>
      <c r="B274" s="5"/>
      <c r="C274" s="7"/>
      <c r="D274" s="5"/>
      <c r="E274" s="5" t="str">
        <f>IF(ISBLANK(C274),"",RANK(C274,C$2:C$367,0)+COUNTIF(C$2:C274,C274)-1)</f>
        <v/>
      </c>
    </row>
    <row r="275" spans="1:5" x14ac:dyDescent="0.3">
      <c r="A275" s="5"/>
      <c r="B275" s="5"/>
      <c r="C275" s="7"/>
      <c r="D275" s="5"/>
      <c r="E275" s="5" t="str">
        <f>IF(ISBLANK(C275),"",RANK(C275,C$2:C$367,0)+COUNTIF(C$2:C275,C275)-1)</f>
        <v/>
      </c>
    </row>
    <row r="276" spans="1:5" x14ac:dyDescent="0.3">
      <c r="A276" s="5"/>
      <c r="B276" s="5"/>
      <c r="C276" s="7"/>
      <c r="D276" s="5"/>
      <c r="E276" s="5" t="str">
        <f>IF(ISBLANK(C276),"",RANK(C276,C$2:C$367,0)+COUNTIF(C$2:C276,C276)-1)</f>
        <v/>
      </c>
    </row>
    <row r="277" spans="1:5" x14ac:dyDescent="0.3">
      <c r="A277" s="5"/>
      <c r="B277" s="5"/>
      <c r="C277" s="7"/>
      <c r="D277" s="5"/>
      <c r="E277" s="5" t="str">
        <f>IF(ISBLANK(C277),"",RANK(C277,C$2:C$367,0)+COUNTIF(C$2:C277,C277)-1)</f>
        <v/>
      </c>
    </row>
    <row r="278" spans="1:5" x14ac:dyDescent="0.3">
      <c r="A278" s="5"/>
      <c r="B278" s="5"/>
      <c r="C278" s="7"/>
      <c r="D278" s="5"/>
      <c r="E278" s="5" t="str">
        <f>IF(ISBLANK(C278),"",RANK(C278,C$2:C$367,0)+COUNTIF(C$2:C278,C278)-1)</f>
        <v/>
      </c>
    </row>
    <row r="279" spans="1:5" x14ac:dyDescent="0.3">
      <c r="A279" s="5"/>
      <c r="B279" s="5"/>
      <c r="C279" s="7"/>
      <c r="D279" s="5"/>
      <c r="E279" s="5" t="str">
        <f>IF(ISBLANK(C279),"",RANK(C279,C$2:C$367,0)+COUNTIF(C$2:C279,C279)-1)</f>
        <v/>
      </c>
    </row>
    <row r="280" spans="1:5" x14ac:dyDescent="0.3">
      <c r="A280" s="5"/>
      <c r="B280" s="5"/>
      <c r="C280" s="7"/>
      <c r="D280" s="5"/>
      <c r="E280" s="5" t="str">
        <f>IF(ISBLANK(C280),"",RANK(C280,C$2:C$367,0)+COUNTIF(C$2:C280,C280)-1)</f>
        <v/>
      </c>
    </row>
    <row r="281" spans="1:5" x14ac:dyDescent="0.3">
      <c r="A281" s="5"/>
      <c r="B281" s="5"/>
      <c r="C281" s="7"/>
      <c r="D281" s="5"/>
      <c r="E281" s="5" t="str">
        <f>IF(ISBLANK(C281),"",RANK(C281,C$2:C$367,0)+COUNTIF(C$2:C281,C281)-1)</f>
        <v/>
      </c>
    </row>
    <row r="282" spans="1:5" x14ac:dyDescent="0.3">
      <c r="A282" s="5"/>
      <c r="B282" s="5"/>
      <c r="C282" s="7"/>
      <c r="D282" s="5"/>
      <c r="E282" s="5" t="str">
        <f>IF(ISBLANK(C282),"",RANK(C282,C$2:C$367,0)+COUNTIF(C$2:C282,C282)-1)</f>
        <v/>
      </c>
    </row>
    <row r="283" spans="1:5" x14ac:dyDescent="0.3">
      <c r="A283" s="5"/>
      <c r="B283" s="5"/>
      <c r="C283" s="7"/>
      <c r="D283" s="5"/>
      <c r="E283" s="5" t="str">
        <f>IF(ISBLANK(C283),"",RANK(C283,C$2:C$367,0)+COUNTIF(C$2:C283,C283)-1)</f>
        <v/>
      </c>
    </row>
    <row r="284" spans="1:5" x14ac:dyDescent="0.3">
      <c r="A284" s="5"/>
      <c r="B284" s="5"/>
      <c r="C284" s="7"/>
      <c r="D284" s="5"/>
      <c r="E284" s="5" t="str">
        <f>IF(ISBLANK(C284),"",RANK(C284,C$2:C$367,0)+COUNTIF(C$2:C284,C284)-1)</f>
        <v/>
      </c>
    </row>
    <row r="285" spans="1:5" x14ac:dyDescent="0.3">
      <c r="A285" s="5"/>
      <c r="B285" s="5"/>
      <c r="C285" s="7"/>
      <c r="D285" s="5"/>
      <c r="E285" s="5" t="str">
        <f>IF(ISBLANK(C285),"",RANK(C285,C$2:C$367,0)+COUNTIF(C$2:C285,C285)-1)</f>
        <v/>
      </c>
    </row>
    <row r="286" spans="1:5" x14ac:dyDescent="0.3">
      <c r="A286" s="5"/>
      <c r="B286" s="5"/>
      <c r="C286" s="7"/>
      <c r="D286" s="5"/>
      <c r="E286" s="5" t="str">
        <f>IF(ISBLANK(C286),"",RANK(C286,C$2:C$367,0)+COUNTIF(C$2:C286,C286)-1)</f>
        <v/>
      </c>
    </row>
    <row r="287" spans="1:5" x14ac:dyDescent="0.3">
      <c r="A287" s="5"/>
      <c r="B287" s="5"/>
      <c r="C287" s="7"/>
      <c r="D287" s="5"/>
      <c r="E287" s="5" t="str">
        <f>IF(ISBLANK(C287),"",RANK(C287,C$2:C$367,0)+COUNTIF(C$2:C287,C287)-1)</f>
        <v/>
      </c>
    </row>
    <row r="288" spans="1:5" x14ac:dyDescent="0.3">
      <c r="A288" s="5"/>
      <c r="B288" s="5"/>
      <c r="C288" s="7"/>
      <c r="D288" s="5"/>
      <c r="E288" s="5" t="str">
        <f>IF(ISBLANK(C288),"",RANK(C288,C$2:C$367,0)+COUNTIF(C$2:C288,C288)-1)</f>
        <v/>
      </c>
    </row>
    <row r="289" spans="1:5" x14ac:dyDescent="0.3">
      <c r="A289" s="5"/>
      <c r="B289" s="5"/>
      <c r="C289" s="7"/>
      <c r="D289" s="5"/>
      <c r="E289" s="5" t="str">
        <f>IF(ISBLANK(C289),"",RANK(C289,C$2:C$367,0)+COUNTIF(C$2:C289,C289)-1)</f>
        <v/>
      </c>
    </row>
    <row r="290" spans="1:5" x14ac:dyDescent="0.3">
      <c r="A290" s="5"/>
      <c r="B290" s="5"/>
      <c r="C290" s="7"/>
      <c r="D290" s="5"/>
      <c r="E290" s="5" t="str">
        <f>IF(ISBLANK(C290),"",RANK(C290,C$2:C$367,0)+COUNTIF(C$2:C290,C290)-1)</f>
        <v/>
      </c>
    </row>
    <row r="291" spans="1:5" x14ac:dyDescent="0.3">
      <c r="A291" s="5"/>
      <c r="B291" s="5"/>
      <c r="C291" s="7"/>
      <c r="D291" s="5"/>
      <c r="E291" s="5" t="str">
        <f>IF(ISBLANK(C291),"",RANK(C291,C$2:C$367,0)+COUNTIF(C$2:C291,C291)-1)</f>
        <v/>
      </c>
    </row>
    <row r="292" spans="1:5" x14ac:dyDescent="0.3">
      <c r="A292" s="5"/>
      <c r="B292" s="5"/>
      <c r="C292" s="7"/>
      <c r="D292" s="5"/>
      <c r="E292" s="5" t="str">
        <f>IF(ISBLANK(C292),"",RANK(C292,C$2:C$367,0)+COUNTIF(C$2:C292,C292)-1)</f>
        <v/>
      </c>
    </row>
    <row r="293" spans="1:5" x14ac:dyDescent="0.3">
      <c r="A293" s="5"/>
      <c r="B293" s="5"/>
      <c r="C293" s="7"/>
      <c r="D293" s="5"/>
      <c r="E293" s="5" t="str">
        <f>IF(ISBLANK(C293),"",RANK(C293,C$2:C$367,0)+COUNTIF(C$2:C293,C293)-1)</f>
        <v/>
      </c>
    </row>
    <row r="294" spans="1:5" x14ac:dyDescent="0.3">
      <c r="A294" s="5"/>
      <c r="B294" s="5"/>
      <c r="C294" s="7"/>
      <c r="D294" s="5"/>
      <c r="E294" s="5" t="str">
        <f>IF(ISBLANK(C294),"",RANK(C294,C$2:C$367,0)+COUNTIF(C$2:C294,C294)-1)</f>
        <v/>
      </c>
    </row>
    <row r="295" spans="1:5" x14ac:dyDescent="0.3">
      <c r="A295" s="5"/>
      <c r="B295" s="5"/>
      <c r="C295" s="7"/>
      <c r="D295" s="5"/>
      <c r="E295" s="5" t="str">
        <f>IF(ISBLANK(C295),"",RANK(C295,C$2:C$367,0)+COUNTIF(C$2:C295,C295)-1)</f>
        <v/>
      </c>
    </row>
    <row r="296" spans="1:5" x14ac:dyDescent="0.3">
      <c r="A296" s="5"/>
      <c r="B296" s="5"/>
      <c r="C296" s="7"/>
      <c r="D296" s="5"/>
      <c r="E296" s="5" t="str">
        <f>IF(ISBLANK(C296),"",RANK(C296,C$2:C$367,0)+COUNTIF(C$2:C296,C296)-1)</f>
        <v/>
      </c>
    </row>
    <row r="297" spans="1:5" x14ac:dyDescent="0.3">
      <c r="A297" s="5"/>
      <c r="B297" s="5"/>
      <c r="C297" s="7"/>
      <c r="D297" s="5"/>
      <c r="E297" s="5" t="str">
        <f>IF(ISBLANK(C297),"",RANK(C297,C$2:C$367,0)+COUNTIF(C$2:C297,C297)-1)</f>
        <v/>
      </c>
    </row>
    <row r="298" spans="1:5" x14ac:dyDescent="0.3">
      <c r="A298" s="5"/>
      <c r="B298" s="5"/>
      <c r="C298" s="7"/>
      <c r="D298" s="5"/>
      <c r="E298" s="5" t="str">
        <f>IF(ISBLANK(C298),"",RANK(C298,C$2:C$367,0)+COUNTIF(C$2:C298,C298)-1)</f>
        <v/>
      </c>
    </row>
    <row r="299" spans="1:5" x14ac:dyDescent="0.3">
      <c r="A299" s="5"/>
      <c r="B299" s="5"/>
      <c r="C299" s="7"/>
      <c r="D299" s="5"/>
      <c r="E299" s="5" t="str">
        <f>IF(ISBLANK(C299),"",RANK(C299,C$2:C$367,0)+COUNTIF(C$2:C299,C299)-1)</f>
        <v/>
      </c>
    </row>
    <row r="300" spans="1:5" x14ac:dyDescent="0.3">
      <c r="A300" s="5"/>
      <c r="B300" s="5"/>
      <c r="C300" s="7"/>
      <c r="D300" s="5"/>
      <c r="E300" s="5" t="str">
        <f>IF(ISBLANK(C300),"",RANK(C300,C$2:C$367,0)+COUNTIF(C$2:C300,C300)-1)</f>
        <v/>
      </c>
    </row>
    <row r="301" spans="1:5" x14ac:dyDescent="0.3">
      <c r="A301" s="5"/>
      <c r="B301" s="5"/>
      <c r="C301" s="7"/>
      <c r="D301" s="5"/>
      <c r="E301" s="5" t="str">
        <f>IF(ISBLANK(C301),"",RANK(C301,C$2:C$367,0)+COUNTIF(C$2:C301,C301)-1)</f>
        <v/>
      </c>
    </row>
    <row r="302" spans="1:5" x14ac:dyDescent="0.3">
      <c r="A302" s="5"/>
      <c r="B302" s="5"/>
      <c r="C302" s="7"/>
      <c r="D302" s="5"/>
      <c r="E302" s="5" t="str">
        <f>IF(ISBLANK(C302),"",RANK(C302,C$2:C$367,0)+COUNTIF(C$2:C302,C302)-1)</f>
        <v/>
      </c>
    </row>
    <row r="303" spans="1:5" x14ac:dyDescent="0.3">
      <c r="A303" s="5"/>
      <c r="B303" s="5"/>
      <c r="C303" s="7"/>
      <c r="D303" s="5"/>
      <c r="E303" s="5" t="str">
        <f>IF(ISBLANK(C303),"",RANK(C303,C$2:C$367,0)+COUNTIF(C$2:C303,C303)-1)</f>
        <v/>
      </c>
    </row>
    <row r="304" spans="1:5" x14ac:dyDescent="0.3">
      <c r="A304" s="5"/>
      <c r="B304" s="5"/>
      <c r="C304" s="7"/>
      <c r="D304" s="5"/>
      <c r="E304" s="5" t="str">
        <f>IF(ISBLANK(C304),"",RANK(C304,C$2:C$367,0)+COUNTIF(C$2:C304,C304)-1)</f>
        <v/>
      </c>
    </row>
    <row r="305" spans="1:5" x14ac:dyDescent="0.3">
      <c r="A305" s="5"/>
      <c r="B305" s="5"/>
      <c r="C305" s="7"/>
      <c r="D305" s="5"/>
      <c r="E305" s="5" t="str">
        <f>IF(ISBLANK(C305),"",RANK(C305,C$2:C$367,0)+COUNTIF(C$2:C305,C305)-1)</f>
        <v/>
      </c>
    </row>
    <row r="306" spans="1:5" x14ac:dyDescent="0.3">
      <c r="A306" s="5"/>
      <c r="B306" s="5"/>
      <c r="C306" s="7"/>
      <c r="D306" s="5"/>
      <c r="E306" s="5" t="str">
        <f>IF(ISBLANK(C306),"",RANK(C306,C$2:C$367,0)+COUNTIF(C$2:C306,C306)-1)</f>
        <v/>
      </c>
    </row>
    <row r="307" spans="1:5" x14ac:dyDescent="0.3">
      <c r="A307" s="5"/>
      <c r="B307" s="5"/>
      <c r="C307" s="7"/>
      <c r="D307" s="5"/>
      <c r="E307" s="5" t="str">
        <f>IF(ISBLANK(C307),"",RANK(C307,C$2:C$367,0)+COUNTIF(C$2:C307,C307)-1)</f>
        <v/>
      </c>
    </row>
    <row r="308" spans="1:5" x14ac:dyDescent="0.3">
      <c r="A308" s="5"/>
      <c r="B308" s="5"/>
      <c r="C308" s="7"/>
      <c r="D308" s="5"/>
      <c r="E308" s="5" t="str">
        <f>IF(ISBLANK(C308),"",RANK(C308,C$2:C$367,0)+COUNTIF(C$2:C308,C308)-1)</f>
        <v/>
      </c>
    </row>
    <row r="309" spans="1:5" x14ac:dyDescent="0.3">
      <c r="A309" s="5"/>
      <c r="B309" s="5"/>
      <c r="C309" s="7"/>
      <c r="D309" s="5"/>
      <c r="E309" s="5" t="str">
        <f>IF(ISBLANK(C309),"",RANK(C309,C$2:C$367,0)+COUNTIF(C$2:C309,C309)-1)</f>
        <v/>
      </c>
    </row>
    <row r="310" spans="1:5" x14ac:dyDescent="0.3">
      <c r="A310" s="5"/>
      <c r="B310" s="5"/>
      <c r="C310" s="7"/>
      <c r="D310" s="5"/>
      <c r="E310" s="5" t="str">
        <f>IF(ISBLANK(C310),"",RANK(C310,C$2:C$367,0)+COUNTIF(C$2:C310,C310)-1)</f>
        <v/>
      </c>
    </row>
    <row r="311" spans="1:5" x14ac:dyDescent="0.3">
      <c r="A311" s="5"/>
      <c r="B311" s="5"/>
      <c r="C311" s="7"/>
      <c r="D311" s="5"/>
      <c r="E311" s="5" t="str">
        <f>IF(ISBLANK(C311),"",RANK(C311,C$2:C$367,0)+COUNTIF(C$2:C311,C311)-1)</f>
        <v/>
      </c>
    </row>
    <row r="312" spans="1:5" x14ac:dyDescent="0.3">
      <c r="A312" s="5"/>
      <c r="B312" s="5"/>
      <c r="C312" s="7"/>
      <c r="D312" s="5"/>
      <c r="E312" s="5" t="str">
        <f>IF(ISBLANK(C312),"",RANK(C312,C$2:C$367,0)+COUNTIF(C$2:C312,C312)-1)</f>
        <v/>
      </c>
    </row>
    <row r="313" spans="1:5" x14ac:dyDescent="0.3">
      <c r="A313" s="5"/>
      <c r="B313" s="5"/>
      <c r="C313" s="7"/>
      <c r="D313" s="5"/>
      <c r="E313" s="5" t="str">
        <f>IF(ISBLANK(C313),"",RANK(C313,C$2:C$367,0)+COUNTIF(C$2:C313,C313)-1)</f>
        <v/>
      </c>
    </row>
    <row r="314" spans="1:5" x14ac:dyDescent="0.3">
      <c r="A314" s="5"/>
      <c r="B314" s="5"/>
      <c r="C314" s="7"/>
      <c r="D314" s="5"/>
      <c r="E314" s="5" t="str">
        <f>IF(ISBLANK(C314),"",RANK(C314,C$2:C$367,0)+COUNTIF(C$2:C314,C314)-1)</f>
        <v/>
      </c>
    </row>
    <row r="315" spans="1:5" x14ac:dyDescent="0.3">
      <c r="A315" s="5"/>
      <c r="B315" s="5"/>
      <c r="C315" s="7"/>
      <c r="D315" s="5"/>
      <c r="E315" s="5" t="str">
        <f>IF(ISBLANK(C315),"",RANK(C315,C$2:C$367,0)+COUNTIF(C$2:C315,C315)-1)</f>
        <v/>
      </c>
    </row>
    <row r="316" spans="1:5" x14ac:dyDescent="0.3">
      <c r="A316" s="5"/>
      <c r="B316" s="5"/>
      <c r="C316" s="7"/>
      <c r="D316" s="5"/>
      <c r="E316" s="5" t="str">
        <f>IF(ISBLANK(C316),"",RANK(C316,C$2:C$367,0)+COUNTIF(C$2:C316,C316)-1)</f>
        <v/>
      </c>
    </row>
    <row r="317" spans="1:5" x14ac:dyDescent="0.3">
      <c r="A317" s="5"/>
      <c r="B317" s="5"/>
      <c r="C317" s="7"/>
      <c r="D317" s="5"/>
      <c r="E317" s="5" t="str">
        <f>IF(ISBLANK(C317),"",RANK(C317,C$2:C$367,0)+COUNTIF(C$2:C317,C317)-1)</f>
        <v/>
      </c>
    </row>
    <row r="318" spans="1:5" x14ac:dyDescent="0.3">
      <c r="A318" s="5"/>
      <c r="B318" s="5"/>
      <c r="C318" s="7"/>
      <c r="D318" s="5"/>
      <c r="E318" s="5" t="str">
        <f>IF(ISBLANK(C318),"",RANK(C318,C$2:C$367,0)+COUNTIF(C$2:C318,C318)-1)</f>
        <v/>
      </c>
    </row>
    <row r="319" spans="1:5" x14ac:dyDescent="0.3">
      <c r="A319" s="5"/>
      <c r="B319" s="5"/>
      <c r="C319" s="7"/>
      <c r="D319" s="5"/>
      <c r="E319" s="5" t="str">
        <f>IF(ISBLANK(C319),"",RANK(C319,C$2:C$367,0)+COUNTIF(C$2:C319,C319)-1)</f>
        <v/>
      </c>
    </row>
    <row r="320" spans="1:5" x14ac:dyDescent="0.3">
      <c r="A320" s="5"/>
      <c r="B320" s="5"/>
      <c r="C320" s="7"/>
      <c r="D320" s="5"/>
      <c r="E320" s="5" t="str">
        <f>IF(ISBLANK(C320),"",RANK(C320,C$2:C$367,0)+COUNTIF(C$2:C320,C320)-1)</f>
        <v/>
      </c>
    </row>
    <row r="321" spans="1:5" x14ac:dyDescent="0.3">
      <c r="A321" s="5"/>
      <c r="B321" s="5"/>
      <c r="C321" s="7"/>
      <c r="D321" s="5"/>
      <c r="E321" s="5" t="str">
        <f>IF(ISBLANK(C321),"",RANK(C321,C$2:C$367,0)+COUNTIF(C$2:C321,C321)-1)</f>
        <v/>
      </c>
    </row>
    <row r="322" spans="1:5" x14ac:dyDescent="0.3">
      <c r="A322" s="5"/>
      <c r="B322" s="5"/>
      <c r="C322" s="7"/>
      <c r="D322" s="5"/>
      <c r="E322" s="5" t="str">
        <f>IF(ISBLANK(C322),"",RANK(C322,C$2:C$367,0)+COUNTIF(C$2:C322,C322)-1)</f>
        <v/>
      </c>
    </row>
    <row r="323" spans="1:5" x14ac:dyDescent="0.3">
      <c r="A323" s="5"/>
      <c r="B323" s="5"/>
      <c r="C323" s="7"/>
      <c r="D323" s="5"/>
      <c r="E323" s="5" t="str">
        <f>IF(ISBLANK(C323),"",RANK(C323,C$2:C$367,0)+COUNTIF(C$2:C323,C323)-1)</f>
        <v/>
      </c>
    </row>
    <row r="324" spans="1:5" x14ac:dyDescent="0.3">
      <c r="A324" s="5"/>
      <c r="B324" s="5"/>
      <c r="C324" s="7"/>
      <c r="D324" s="5"/>
      <c r="E324" s="5" t="str">
        <f>IF(ISBLANK(C324),"",RANK(C324,C$2:C$367,0)+COUNTIF(C$2:C324,C324)-1)</f>
        <v/>
      </c>
    </row>
    <row r="325" spans="1:5" x14ac:dyDescent="0.3">
      <c r="A325" s="5"/>
      <c r="B325" s="5"/>
      <c r="C325" s="7"/>
      <c r="D325" s="5"/>
      <c r="E325" s="5" t="str">
        <f>IF(ISBLANK(C325),"",RANK(C325,C$2:C$367,0)+COUNTIF(C$2:C325,C325)-1)</f>
        <v/>
      </c>
    </row>
    <row r="326" spans="1:5" x14ac:dyDescent="0.3">
      <c r="A326" s="5"/>
      <c r="B326" s="5"/>
      <c r="C326" s="7"/>
      <c r="D326" s="5"/>
      <c r="E326" s="5" t="str">
        <f>IF(ISBLANK(C326),"",RANK(C326,C$2:C$367,0)+COUNTIF(C$2:C326,C326)-1)</f>
        <v/>
      </c>
    </row>
    <row r="327" spans="1:5" x14ac:dyDescent="0.3">
      <c r="A327" s="5"/>
      <c r="B327" s="5"/>
      <c r="C327" s="7"/>
      <c r="D327" s="5"/>
      <c r="E327" s="5" t="str">
        <f>IF(ISBLANK(C327),"",RANK(C327,C$2:C$367,0)+COUNTIF(C$2:C327,C327)-1)</f>
        <v/>
      </c>
    </row>
    <row r="328" spans="1:5" x14ac:dyDescent="0.3">
      <c r="A328" s="5"/>
      <c r="B328" s="5"/>
      <c r="C328" s="7"/>
      <c r="D328" s="5"/>
      <c r="E328" s="5" t="str">
        <f>IF(ISBLANK(C328),"",RANK(C328,C$2:C$367,0)+COUNTIF(C$2:C328,C328)-1)</f>
        <v/>
      </c>
    </row>
    <row r="329" spans="1:5" x14ac:dyDescent="0.3">
      <c r="A329" s="5"/>
      <c r="B329" s="5"/>
      <c r="C329" s="7"/>
      <c r="D329" s="5"/>
      <c r="E329" s="5" t="str">
        <f>IF(ISBLANK(C329),"",RANK(C329,C$2:C$367,0)+COUNTIF(C$2:C329,C329)-1)</f>
        <v/>
      </c>
    </row>
    <row r="330" spans="1:5" x14ac:dyDescent="0.3">
      <c r="A330" s="5"/>
      <c r="B330" s="5"/>
      <c r="C330" s="7"/>
      <c r="D330" s="5"/>
      <c r="E330" s="5" t="str">
        <f>IF(ISBLANK(C330),"",RANK(C330,C$2:C$367,0)+COUNTIF(C$2:C330,C330)-1)</f>
        <v/>
      </c>
    </row>
    <row r="331" spans="1:5" x14ac:dyDescent="0.3">
      <c r="A331" s="5"/>
      <c r="B331" s="5"/>
      <c r="C331" s="7"/>
      <c r="D331" s="5"/>
      <c r="E331" s="5" t="str">
        <f>IF(ISBLANK(C331),"",RANK(C331,C$2:C$367,0)+COUNTIF(C$2:C331,C331)-1)</f>
        <v/>
      </c>
    </row>
    <row r="332" spans="1:5" x14ac:dyDescent="0.3">
      <c r="A332" s="5"/>
      <c r="B332" s="5"/>
      <c r="C332" s="7"/>
      <c r="D332" s="5"/>
      <c r="E332" s="5" t="str">
        <f>IF(ISBLANK(C332),"",RANK(C332,C$2:C$367,0)+COUNTIF(C$2:C332,C332)-1)</f>
        <v/>
      </c>
    </row>
    <row r="333" spans="1:5" x14ac:dyDescent="0.3">
      <c r="A333" s="5"/>
      <c r="B333" s="5"/>
      <c r="C333" s="7"/>
      <c r="D333" s="5"/>
      <c r="E333" s="5" t="str">
        <f>IF(ISBLANK(C333),"",RANK(C333,C$2:C$367,0)+COUNTIF(C$2:C333,C333)-1)</f>
        <v/>
      </c>
    </row>
    <row r="334" spans="1:5" x14ac:dyDescent="0.3">
      <c r="A334" s="5"/>
      <c r="B334" s="5"/>
      <c r="C334" s="7"/>
      <c r="D334" s="5"/>
      <c r="E334" s="5" t="str">
        <f>IF(ISBLANK(C334),"",RANK(C334,C$2:C$367,0)+COUNTIF(C$2:C334,C334)-1)</f>
        <v/>
      </c>
    </row>
    <row r="335" spans="1:5" x14ac:dyDescent="0.3">
      <c r="A335" s="5"/>
      <c r="B335" s="5"/>
      <c r="C335" s="7"/>
      <c r="D335" s="5"/>
      <c r="E335" s="5" t="str">
        <f>IF(ISBLANK(C335),"",RANK(C335,C$2:C$367,0)+COUNTIF(C$2:C335,C335)-1)</f>
        <v/>
      </c>
    </row>
    <row r="336" spans="1:5" x14ac:dyDescent="0.3">
      <c r="A336" s="5"/>
      <c r="B336" s="5"/>
      <c r="C336" s="7"/>
      <c r="D336" s="5"/>
      <c r="E336" s="5" t="str">
        <f>IF(ISBLANK(C336),"",RANK(C336,C$2:C$367,0)+COUNTIF(C$2:C336,C336)-1)</f>
        <v/>
      </c>
    </row>
    <row r="337" spans="1:5" x14ac:dyDescent="0.3">
      <c r="A337" s="5"/>
      <c r="B337" s="5"/>
      <c r="C337" s="7"/>
      <c r="D337" s="5"/>
      <c r="E337" s="5" t="str">
        <f>IF(ISBLANK(C337),"",RANK(C337,C$2:C$367,0)+COUNTIF(C$2:C337,C337)-1)</f>
        <v/>
      </c>
    </row>
    <row r="338" spans="1:5" x14ac:dyDescent="0.3">
      <c r="A338" s="5"/>
      <c r="B338" s="5"/>
      <c r="C338" s="7"/>
      <c r="D338" s="5"/>
      <c r="E338" s="5" t="str">
        <f>IF(ISBLANK(C338),"",RANK(C338,C$2:C$367,0)+COUNTIF(C$2:C338,C338)-1)</f>
        <v/>
      </c>
    </row>
    <row r="339" spans="1:5" x14ac:dyDescent="0.3">
      <c r="A339" s="5"/>
      <c r="B339" s="5"/>
      <c r="C339" s="7"/>
      <c r="D339" s="5"/>
      <c r="E339" s="5" t="str">
        <f>IF(ISBLANK(C339),"",RANK(C339,C$2:C$367,0)+COUNTIF(C$2:C339,C339)-1)</f>
        <v/>
      </c>
    </row>
    <row r="340" spans="1:5" x14ac:dyDescent="0.3">
      <c r="A340" s="5"/>
      <c r="B340" s="5"/>
      <c r="C340" s="7"/>
      <c r="D340" s="5"/>
      <c r="E340" s="5" t="str">
        <f>IF(ISBLANK(C340),"",RANK(C340,C$2:C$367,0)+COUNTIF(C$2:C340,C340)-1)</f>
        <v/>
      </c>
    </row>
    <row r="341" spans="1:5" x14ac:dyDescent="0.3">
      <c r="A341" s="5"/>
      <c r="B341" s="5"/>
      <c r="C341" s="7"/>
      <c r="D341" s="5"/>
      <c r="E341" s="5" t="str">
        <f>IF(ISBLANK(C341),"",RANK(C341,C$2:C$367,0)+COUNTIF(C$2:C341,C341)-1)</f>
        <v/>
      </c>
    </row>
    <row r="342" spans="1:5" x14ac:dyDescent="0.3">
      <c r="A342" s="5"/>
      <c r="B342" s="5"/>
      <c r="C342" s="7"/>
      <c r="D342" s="5"/>
      <c r="E342" s="5" t="str">
        <f>IF(ISBLANK(C342),"",RANK(C342,C$2:C$367,0)+COUNTIF(C$2:C342,C342)-1)</f>
        <v/>
      </c>
    </row>
    <row r="343" spans="1:5" x14ac:dyDescent="0.3">
      <c r="A343" s="5"/>
      <c r="B343" s="5"/>
      <c r="C343" s="7"/>
      <c r="D343" s="5"/>
      <c r="E343" s="5" t="str">
        <f>IF(ISBLANK(C343),"",RANK(C343,C$2:C$367,0)+COUNTIF(C$2:C343,C343)-1)</f>
        <v/>
      </c>
    </row>
    <row r="344" spans="1:5" x14ac:dyDescent="0.3">
      <c r="A344" s="5"/>
      <c r="B344" s="5"/>
      <c r="C344" s="7"/>
      <c r="D344" s="5"/>
      <c r="E344" s="5" t="str">
        <f>IF(ISBLANK(C344),"",RANK(C344,C$2:C$367,0)+COUNTIF(C$2:C344,C344)-1)</f>
        <v/>
      </c>
    </row>
    <row r="345" spans="1:5" x14ac:dyDescent="0.3">
      <c r="A345" s="5"/>
      <c r="B345" s="5"/>
      <c r="C345" s="7"/>
      <c r="D345" s="5"/>
      <c r="E345" s="5" t="str">
        <f>IF(ISBLANK(C345),"",RANK(C345,C$2:C$367,0)+COUNTIF(C$2:C345,C345)-1)</f>
        <v/>
      </c>
    </row>
    <row r="346" spans="1:5" x14ac:dyDescent="0.3">
      <c r="A346" s="5"/>
      <c r="B346" s="5"/>
      <c r="C346" s="7"/>
      <c r="D346" s="5"/>
      <c r="E346" s="5" t="str">
        <f>IF(ISBLANK(C346),"",RANK(C346,C$2:C$367,0)+COUNTIF(C$2:C346,C346)-1)</f>
        <v/>
      </c>
    </row>
    <row r="347" spans="1:5" x14ac:dyDescent="0.3">
      <c r="A347" s="5"/>
      <c r="B347" s="5"/>
      <c r="C347" s="7"/>
      <c r="D347" s="5"/>
      <c r="E347" s="5" t="str">
        <f>IF(ISBLANK(C347),"",RANK(C347,C$2:C$367,0)+COUNTIF(C$2:C347,C347)-1)</f>
        <v/>
      </c>
    </row>
    <row r="348" spans="1:5" x14ac:dyDescent="0.3">
      <c r="A348" s="5"/>
      <c r="B348" s="5"/>
      <c r="C348" s="7"/>
      <c r="D348" s="5"/>
      <c r="E348" s="5" t="str">
        <f>IF(ISBLANK(C348),"",RANK(C348,C$2:C$367,0)+COUNTIF(C$2:C348,C348)-1)</f>
        <v/>
      </c>
    </row>
    <row r="349" spans="1:5" x14ac:dyDescent="0.3">
      <c r="A349" s="5"/>
      <c r="B349" s="5"/>
      <c r="C349" s="7"/>
      <c r="D349" s="5"/>
      <c r="E349" s="5" t="str">
        <f>IF(ISBLANK(C349),"",RANK(C349,C$2:C$367,0)+COUNTIF(C$2:C349,C349)-1)</f>
        <v/>
      </c>
    </row>
    <row r="350" spans="1:5" x14ac:dyDescent="0.3">
      <c r="A350" s="5"/>
      <c r="B350" s="5"/>
      <c r="C350" s="7"/>
      <c r="D350" s="5"/>
      <c r="E350" s="5" t="str">
        <f>IF(ISBLANK(C350),"",RANK(C350,C$2:C$367,0)+COUNTIF(C$2:C350,C350)-1)</f>
        <v/>
      </c>
    </row>
    <row r="351" spans="1:5" x14ac:dyDescent="0.3">
      <c r="A351" s="5"/>
      <c r="B351" s="5"/>
      <c r="C351" s="7"/>
      <c r="D351" s="5"/>
      <c r="E351" s="5" t="str">
        <f>IF(ISBLANK(C351),"",RANK(C351,C$2:C$367,0)+COUNTIF(C$2:C351,C351)-1)</f>
        <v/>
      </c>
    </row>
    <row r="352" spans="1:5" x14ac:dyDescent="0.3">
      <c r="A352" s="5"/>
      <c r="B352" s="5"/>
      <c r="C352" s="7"/>
      <c r="D352" s="5"/>
      <c r="E352" s="5" t="str">
        <f>IF(ISBLANK(C352),"",RANK(C352,C$2:C$367,0)+COUNTIF(C$2:C352,C352)-1)</f>
        <v/>
      </c>
    </row>
    <row r="353" spans="1:5" x14ac:dyDescent="0.3">
      <c r="A353" s="5"/>
      <c r="B353" s="5"/>
      <c r="C353" s="7"/>
      <c r="D353" s="5"/>
      <c r="E353" s="5" t="str">
        <f>IF(ISBLANK(C353),"",RANK(C353,C$2:C$367,0)+COUNTIF(C$2:C353,C353)-1)</f>
        <v/>
      </c>
    </row>
    <row r="354" spans="1:5" x14ac:dyDescent="0.3">
      <c r="A354" s="5"/>
      <c r="B354" s="5"/>
      <c r="C354" s="7"/>
      <c r="D354" s="5"/>
      <c r="E354" s="5" t="str">
        <f>IF(ISBLANK(C354),"",RANK(C354,C$2:C$367,0)+COUNTIF(C$2:C354,C354)-1)</f>
        <v/>
      </c>
    </row>
    <row r="355" spans="1:5" x14ac:dyDescent="0.3">
      <c r="A355" s="5"/>
      <c r="B355" s="5"/>
      <c r="C355" s="7"/>
      <c r="D355" s="5"/>
      <c r="E355" s="5" t="str">
        <f>IF(ISBLANK(C355),"",RANK(C355,C$2:C$367,0)+COUNTIF(C$2:C355,C355)-1)</f>
        <v/>
      </c>
    </row>
    <row r="356" spans="1:5" x14ac:dyDescent="0.3">
      <c r="A356" s="5"/>
      <c r="B356" s="5"/>
      <c r="C356" s="7"/>
      <c r="D356" s="5"/>
      <c r="E356" s="5" t="str">
        <f>IF(ISBLANK(C356),"",RANK(C356,C$2:C$367,0)+COUNTIF(C$2:C356,C356)-1)</f>
        <v/>
      </c>
    </row>
    <row r="357" spans="1:5" x14ac:dyDescent="0.3">
      <c r="A357" s="5"/>
      <c r="B357" s="5"/>
      <c r="C357" s="7"/>
      <c r="D357" s="5"/>
      <c r="E357" s="5" t="str">
        <f>IF(ISBLANK(C357),"",RANK(C357,C$2:C$367,0)+COUNTIF(C$2:C357,C357)-1)</f>
        <v/>
      </c>
    </row>
    <row r="358" spans="1:5" x14ac:dyDescent="0.3">
      <c r="A358" s="5"/>
      <c r="B358" s="5"/>
      <c r="C358" s="7"/>
      <c r="D358" s="5"/>
      <c r="E358" s="5" t="str">
        <f>IF(ISBLANK(C358),"",RANK(C358,C$2:C$367,0)+COUNTIF(C$2:C358,C358)-1)</f>
        <v/>
      </c>
    </row>
    <row r="359" spans="1:5" x14ac:dyDescent="0.3">
      <c r="A359" s="5"/>
      <c r="B359" s="5"/>
      <c r="C359" s="7"/>
      <c r="D359" s="5"/>
      <c r="E359" s="5" t="str">
        <f>IF(ISBLANK(C359),"",RANK(C359,C$2:C$367,0)+COUNTIF(C$2:C359,C359)-1)</f>
        <v/>
      </c>
    </row>
    <row r="360" spans="1:5" x14ac:dyDescent="0.3">
      <c r="A360" s="5"/>
      <c r="B360" s="5"/>
      <c r="C360" s="7"/>
      <c r="D360" s="5"/>
      <c r="E360" s="5" t="str">
        <f>IF(ISBLANK(C360),"",RANK(C360,C$2:C$367,0)+COUNTIF(C$2:C360,C360)-1)</f>
        <v/>
      </c>
    </row>
    <row r="361" spans="1:5" x14ac:dyDescent="0.3">
      <c r="A361" s="5"/>
      <c r="B361" s="5"/>
      <c r="C361" s="7"/>
      <c r="D361" s="5"/>
      <c r="E361" s="5" t="str">
        <f>IF(ISBLANK(C361),"",RANK(C361,C$2:C$367,0)+COUNTIF(C$2:C361,C361)-1)</f>
        <v/>
      </c>
    </row>
    <row r="362" spans="1:5" x14ac:dyDescent="0.3">
      <c r="A362" s="5"/>
      <c r="B362" s="5"/>
      <c r="C362" s="7"/>
      <c r="D362" s="5"/>
      <c r="E362" s="5" t="str">
        <f>IF(ISBLANK(C362),"",RANK(C362,C$2:C$367,0)+COUNTIF(C$2:C362,C362)-1)</f>
        <v/>
      </c>
    </row>
    <row r="363" spans="1:5" x14ac:dyDescent="0.3">
      <c r="A363" s="5"/>
      <c r="B363" s="5"/>
      <c r="C363" s="7"/>
      <c r="D363" s="5"/>
      <c r="E363" s="5" t="str">
        <f>IF(ISBLANK(C363),"",RANK(C363,C$2:C$367,0)+COUNTIF(C$2:C363,C363)-1)</f>
        <v/>
      </c>
    </row>
    <row r="364" spans="1:5" x14ac:dyDescent="0.3">
      <c r="A364" s="5"/>
      <c r="B364" s="5"/>
      <c r="C364" s="7"/>
      <c r="D364" s="5"/>
      <c r="E364" s="5" t="str">
        <f>IF(ISBLANK(C364),"",RANK(C364,C$2:C$367,0)+COUNTIF(C$2:C364,C364)-1)</f>
        <v/>
      </c>
    </row>
    <row r="365" spans="1:5" x14ac:dyDescent="0.3">
      <c r="A365" s="5"/>
      <c r="B365" s="5"/>
      <c r="C365" s="7"/>
      <c r="D365" s="5"/>
      <c r="E365" s="5" t="str">
        <f>IF(ISBLANK(C365),"",RANK(C365,C$2:C$367,0)+COUNTIF(C$2:C365,C365)-1)</f>
        <v/>
      </c>
    </row>
    <row r="366" spans="1:5" x14ac:dyDescent="0.3">
      <c r="A366" s="5"/>
      <c r="B366" s="5"/>
      <c r="C366" s="7"/>
      <c r="D366" s="5"/>
      <c r="E366" s="5" t="str">
        <f>IF(ISBLANK(C366),"",RANK(C366,C$2:C$367,0)+COUNTIF(C$2:C366,C366)-1)</f>
        <v/>
      </c>
    </row>
    <row r="367" spans="1:5" x14ac:dyDescent="0.3">
      <c r="C367" s="10"/>
      <c r="E367" s="5" t="str">
        <f>IF(ISBLANK(C367),"",RANK(C367,C$2:C$367,0)+COUNTIF(C$2:C367,C367)-1)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DF5D0-2EF0-49F1-B0F7-5BD01DFF1E30}">
  <dimension ref="A1:E3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2" width="10.77734375" customWidth="1"/>
    <col min="3" max="3" width="12.77734375" customWidth="1"/>
    <col min="4" max="4" width="10.77734375" customWidth="1"/>
    <col min="5" max="5" width="12.77734375" customWidth="1"/>
  </cols>
  <sheetData>
    <row r="1" spans="1:5" ht="43.2" customHeight="1" x14ac:dyDescent="0.3">
      <c r="A1" s="2" t="s">
        <v>0</v>
      </c>
      <c r="B1" s="2" t="s">
        <v>24</v>
      </c>
      <c r="C1" s="2" t="s">
        <v>25</v>
      </c>
      <c r="D1" s="2" t="s">
        <v>1</v>
      </c>
      <c r="E1" s="2" t="s">
        <v>26</v>
      </c>
    </row>
    <row r="2" spans="1:5" x14ac:dyDescent="0.3">
      <c r="A2" s="5"/>
      <c r="B2" s="5"/>
      <c r="C2" s="7"/>
      <c r="D2" s="5"/>
      <c r="E2" s="5" t="str">
        <f>IF(ISBLANK(C2),"",RANK(C2,C$2:C$367,0)+COUNTIF(C$2:C2,C2)-1)</f>
        <v/>
      </c>
    </row>
    <row r="3" spans="1:5" x14ac:dyDescent="0.3">
      <c r="A3" s="5"/>
      <c r="B3" s="5"/>
      <c r="C3" s="7"/>
      <c r="D3" s="5"/>
      <c r="E3" s="5" t="str">
        <f>IF(ISBLANK(C3),"",RANK(C3,C$2:C$367,0)+COUNTIF(C$2:C3,C3)-1)</f>
        <v/>
      </c>
    </row>
    <row r="4" spans="1:5" x14ac:dyDescent="0.3">
      <c r="A4" s="5"/>
      <c r="B4" s="5"/>
      <c r="C4" s="7"/>
      <c r="D4" s="5"/>
      <c r="E4" s="5" t="str">
        <f>IF(ISBLANK(C4),"",RANK(C4,C$2:C$367,0)+COUNTIF(C$2:C4,C4)-1)</f>
        <v/>
      </c>
    </row>
    <row r="5" spans="1:5" x14ac:dyDescent="0.3">
      <c r="A5" s="5"/>
      <c r="B5" s="5"/>
      <c r="C5" s="7"/>
      <c r="D5" s="5"/>
      <c r="E5" s="5" t="str">
        <f>IF(ISBLANK(C5),"",RANK(C5,C$2:C$367,0)+COUNTIF(C$2:C5,C5)-1)</f>
        <v/>
      </c>
    </row>
    <row r="6" spans="1:5" x14ac:dyDescent="0.3">
      <c r="A6" s="5"/>
      <c r="B6" s="5"/>
      <c r="C6" s="7"/>
      <c r="D6" s="5"/>
      <c r="E6" s="5" t="str">
        <f>IF(ISBLANK(C6),"",RANK(C6,C$2:C$367,0)+COUNTIF(C$2:C6,C6)-1)</f>
        <v/>
      </c>
    </row>
    <row r="7" spans="1:5" x14ac:dyDescent="0.3">
      <c r="A7" s="5"/>
      <c r="B7" s="5"/>
      <c r="C7" s="7"/>
      <c r="D7" s="5"/>
      <c r="E7" s="5" t="str">
        <f>IF(ISBLANK(C7),"",RANK(C7,C$2:C$367,0)+COUNTIF(C$2:C7,C7)-1)</f>
        <v/>
      </c>
    </row>
    <row r="8" spans="1:5" x14ac:dyDescent="0.3">
      <c r="A8" s="5"/>
      <c r="B8" s="5"/>
      <c r="C8" s="7"/>
      <c r="D8" s="5"/>
      <c r="E8" s="5" t="str">
        <f>IF(ISBLANK(C8),"",RANK(C8,C$2:C$367,0)+COUNTIF(C$2:C8,C8)-1)</f>
        <v/>
      </c>
    </row>
    <row r="9" spans="1:5" x14ac:dyDescent="0.3">
      <c r="A9" s="5"/>
      <c r="B9" s="5"/>
      <c r="C9" s="7"/>
      <c r="D9" s="5"/>
      <c r="E9" s="5" t="str">
        <f>IF(ISBLANK(C9),"",RANK(C9,C$2:C$367,0)+COUNTIF(C$2:C9,C9)-1)</f>
        <v/>
      </c>
    </row>
    <row r="10" spans="1:5" x14ac:dyDescent="0.3">
      <c r="A10" s="5"/>
      <c r="B10" s="5"/>
      <c r="C10" s="7"/>
      <c r="D10" s="5"/>
      <c r="E10" s="5" t="str">
        <f>IF(ISBLANK(C10),"",RANK(C10,C$2:C$367,0)+COUNTIF(C$2:C10,C10)-1)</f>
        <v/>
      </c>
    </row>
    <row r="11" spans="1:5" x14ac:dyDescent="0.3">
      <c r="A11" s="5"/>
      <c r="B11" s="5"/>
      <c r="C11" s="7"/>
      <c r="D11" s="5"/>
      <c r="E11" s="5" t="str">
        <f>IF(ISBLANK(C11),"",RANK(C11,C$2:C$367,0)+COUNTIF(C$2:C11,C11)-1)</f>
        <v/>
      </c>
    </row>
    <row r="12" spans="1:5" x14ac:dyDescent="0.3">
      <c r="A12" s="5"/>
      <c r="B12" s="5"/>
      <c r="C12" s="7"/>
      <c r="D12" s="5"/>
      <c r="E12" s="5" t="str">
        <f>IF(ISBLANK(C12),"",RANK(C12,C$2:C$367,0)+COUNTIF(C$2:C12,C12)-1)</f>
        <v/>
      </c>
    </row>
    <row r="13" spans="1:5" x14ac:dyDescent="0.3">
      <c r="A13" s="5"/>
      <c r="B13" s="5"/>
      <c r="C13" s="7"/>
      <c r="D13" s="5"/>
      <c r="E13" s="5" t="str">
        <f>IF(ISBLANK(C13),"",RANK(C13,C$2:C$367,0)+COUNTIF(C$2:C13,C13)-1)</f>
        <v/>
      </c>
    </row>
    <row r="14" spans="1:5" x14ac:dyDescent="0.3">
      <c r="A14" s="5"/>
      <c r="B14" s="5"/>
      <c r="C14" s="7"/>
      <c r="D14" s="5"/>
      <c r="E14" s="5" t="str">
        <f>IF(ISBLANK(C14),"",RANK(C14,C$2:C$367,0)+COUNTIF(C$2:C14,C14)-1)</f>
        <v/>
      </c>
    </row>
    <row r="15" spans="1:5" x14ac:dyDescent="0.3">
      <c r="A15" s="5"/>
      <c r="B15" s="5"/>
      <c r="C15" s="7"/>
      <c r="D15" s="5"/>
      <c r="E15" s="5" t="str">
        <f>IF(ISBLANK(C15),"",RANK(C15,C$2:C$367,0)+COUNTIF(C$2:C15,C15)-1)</f>
        <v/>
      </c>
    </row>
    <row r="16" spans="1:5" x14ac:dyDescent="0.3">
      <c r="A16" s="5"/>
      <c r="B16" s="5"/>
      <c r="C16" s="7"/>
      <c r="D16" s="5"/>
      <c r="E16" s="5" t="str">
        <f>IF(ISBLANK(C16),"",RANK(C16,C$2:C$367,0)+COUNTIF(C$2:C16,C16)-1)</f>
        <v/>
      </c>
    </row>
    <row r="17" spans="1:5" x14ac:dyDescent="0.3">
      <c r="A17" s="5"/>
      <c r="B17" s="5"/>
      <c r="C17" s="7"/>
      <c r="D17" s="5"/>
      <c r="E17" s="5" t="str">
        <f>IF(ISBLANK(C17),"",RANK(C17,C$2:C$367,0)+COUNTIF(C$2:C17,C17)-1)</f>
        <v/>
      </c>
    </row>
    <row r="18" spans="1:5" x14ac:dyDescent="0.3">
      <c r="A18" s="5"/>
      <c r="B18" s="5"/>
      <c r="C18" s="7"/>
      <c r="D18" s="5"/>
      <c r="E18" s="5" t="str">
        <f>IF(ISBLANK(C18),"",RANK(C18,C$2:C$367,0)+COUNTIF(C$2:C18,C18)-1)</f>
        <v/>
      </c>
    </row>
    <row r="19" spans="1:5" x14ac:dyDescent="0.3">
      <c r="A19" s="5"/>
      <c r="B19" s="5"/>
      <c r="C19" s="7"/>
      <c r="D19" s="5"/>
      <c r="E19" s="5" t="str">
        <f>IF(ISBLANK(C19),"",RANK(C19,C$2:C$367,0)+COUNTIF(C$2:C19,C19)-1)</f>
        <v/>
      </c>
    </row>
    <row r="20" spans="1:5" x14ac:dyDescent="0.3">
      <c r="A20" s="5"/>
      <c r="B20" s="5"/>
      <c r="C20" s="7"/>
      <c r="D20" s="5"/>
      <c r="E20" s="5" t="str">
        <f>IF(ISBLANK(C20),"",RANK(C20,C$2:C$367,0)+COUNTIF(C$2:C20,C20)-1)</f>
        <v/>
      </c>
    </row>
    <row r="21" spans="1:5" x14ac:dyDescent="0.3">
      <c r="A21" s="5"/>
      <c r="B21" s="5"/>
      <c r="C21" s="7"/>
      <c r="D21" s="5"/>
      <c r="E21" s="5" t="str">
        <f>IF(ISBLANK(C21),"",RANK(C21,C$2:C$367,0)+COUNTIF(C$2:C21,C21)-1)</f>
        <v/>
      </c>
    </row>
    <row r="22" spans="1:5" x14ac:dyDescent="0.3">
      <c r="A22" s="5"/>
      <c r="B22" s="5"/>
      <c r="C22" s="7"/>
      <c r="D22" s="5"/>
      <c r="E22" s="5" t="str">
        <f>IF(ISBLANK(C22),"",RANK(C22,C$2:C$367,0)+COUNTIF(C$2:C22,C22)-1)</f>
        <v/>
      </c>
    </row>
    <row r="23" spans="1:5" x14ac:dyDescent="0.3">
      <c r="A23" s="5"/>
      <c r="B23" s="5"/>
      <c r="C23" s="7"/>
      <c r="D23" s="5"/>
      <c r="E23" s="5" t="str">
        <f>IF(ISBLANK(C23),"",RANK(C23,C$2:C$367,0)+COUNTIF(C$2:C23,C23)-1)</f>
        <v/>
      </c>
    </row>
    <row r="24" spans="1:5" x14ac:dyDescent="0.3">
      <c r="A24" s="5"/>
      <c r="B24" s="5"/>
      <c r="C24" s="7"/>
      <c r="D24" s="5"/>
      <c r="E24" s="5" t="str">
        <f>IF(ISBLANK(C24),"",RANK(C24,C$2:C$367,0)+COUNTIF(C$2:C24,C24)-1)</f>
        <v/>
      </c>
    </row>
    <row r="25" spans="1:5" x14ac:dyDescent="0.3">
      <c r="A25" s="5"/>
      <c r="B25" s="5"/>
      <c r="C25" s="7"/>
      <c r="D25" s="5"/>
      <c r="E25" s="5" t="str">
        <f>IF(ISBLANK(C25),"",RANK(C25,C$2:C$367,0)+COUNTIF(C$2:C25,C25)-1)</f>
        <v/>
      </c>
    </row>
    <row r="26" spans="1:5" x14ac:dyDescent="0.3">
      <c r="A26" s="5"/>
      <c r="B26" s="5"/>
      <c r="C26" s="7"/>
      <c r="D26" s="5"/>
      <c r="E26" s="5" t="str">
        <f>IF(ISBLANK(C26),"",RANK(C26,C$2:C$367,0)+COUNTIF(C$2:C26,C26)-1)</f>
        <v/>
      </c>
    </row>
    <row r="27" spans="1:5" x14ac:dyDescent="0.3">
      <c r="A27" s="5"/>
      <c r="B27" s="5"/>
      <c r="C27" s="7"/>
      <c r="D27" s="5"/>
      <c r="E27" s="5" t="str">
        <f>IF(ISBLANK(C27),"",RANK(C27,C$2:C$367,0)+COUNTIF(C$2:C27,C27)-1)</f>
        <v/>
      </c>
    </row>
    <row r="28" spans="1:5" x14ac:dyDescent="0.3">
      <c r="A28" s="5"/>
      <c r="B28" s="5"/>
      <c r="C28" s="7"/>
      <c r="D28" s="5"/>
      <c r="E28" s="5" t="str">
        <f>IF(ISBLANK(C28),"",RANK(C28,C$2:C$367,0)+COUNTIF(C$2:C28,C28)-1)</f>
        <v/>
      </c>
    </row>
    <row r="29" spans="1:5" x14ac:dyDescent="0.3">
      <c r="A29" s="5"/>
      <c r="B29" s="5"/>
      <c r="C29" s="7"/>
      <c r="D29" s="5"/>
      <c r="E29" s="5" t="str">
        <f>IF(ISBLANK(C29),"",RANK(C29,C$2:C$367,0)+COUNTIF(C$2:C29,C29)-1)</f>
        <v/>
      </c>
    </row>
    <row r="30" spans="1:5" x14ac:dyDescent="0.3">
      <c r="A30" s="5"/>
      <c r="B30" s="5"/>
      <c r="C30" s="7"/>
      <c r="D30" s="5"/>
      <c r="E30" s="5" t="str">
        <f>IF(ISBLANK(C30),"",RANK(C30,C$2:C$367,0)+COUNTIF(C$2:C30,C30)-1)</f>
        <v/>
      </c>
    </row>
    <row r="31" spans="1:5" x14ac:dyDescent="0.3">
      <c r="A31" s="5"/>
      <c r="B31" s="5"/>
      <c r="C31" s="7"/>
      <c r="D31" s="5"/>
      <c r="E31" s="5" t="str">
        <f>IF(ISBLANK(C31),"",RANK(C31,C$2:C$367,0)+COUNTIF(C$2:C31,C31)-1)</f>
        <v/>
      </c>
    </row>
    <row r="32" spans="1:5" x14ac:dyDescent="0.3">
      <c r="A32" s="5"/>
      <c r="B32" s="5"/>
      <c r="C32" s="7"/>
      <c r="D32" s="5"/>
      <c r="E32" s="5" t="str">
        <f>IF(ISBLANK(C32),"",RANK(C32,C$2:C$367,0)+COUNTIF(C$2:C32,C32)-1)</f>
        <v/>
      </c>
    </row>
    <row r="33" spans="1:5" x14ac:dyDescent="0.3">
      <c r="A33" s="5"/>
      <c r="B33" s="5"/>
      <c r="C33" s="7"/>
      <c r="D33" s="5"/>
      <c r="E33" s="5" t="str">
        <f>IF(ISBLANK(C33),"",RANK(C33,C$2:C$367,0)+COUNTIF(C$2:C33,C33)-1)</f>
        <v/>
      </c>
    </row>
    <row r="34" spans="1:5" x14ac:dyDescent="0.3">
      <c r="A34" s="5"/>
      <c r="B34" s="5"/>
      <c r="C34" s="7"/>
      <c r="D34" s="5"/>
      <c r="E34" s="5" t="str">
        <f>IF(ISBLANK(C34),"",RANK(C34,C$2:C$367,0)+COUNTIF(C$2:C34,C34)-1)</f>
        <v/>
      </c>
    </row>
    <row r="35" spans="1:5" x14ac:dyDescent="0.3">
      <c r="A35" s="5"/>
      <c r="B35" s="5"/>
      <c r="C35" s="7"/>
      <c r="D35" s="5"/>
      <c r="E35" s="5" t="str">
        <f>IF(ISBLANK(C35),"",RANK(C35,C$2:C$367,0)+COUNTIF(C$2:C35,C35)-1)</f>
        <v/>
      </c>
    </row>
    <row r="36" spans="1:5" x14ac:dyDescent="0.3">
      <c r="A36" s="5"/>
      <c r="B36" s="5"/>
      <c r="C36" s="7"/>
      <c r="D36" s="5"/>
      <c r="E36" s="5" t="str">
        <f>IF(ISBLANK(C36),"",RANK(C36,C$2:C$367,0)+COUNTIF(C$2:C36,C36)-1)</f>
        <v/>
      </c>
    </row>
    <row r="37" spans="1:5" x14ac:dyDescent="0.3">
      <c r="A37" s="5"/>
      <c r="B37" s="5"/>
      <c r="C37" s="7"/>
      <c r="D37" s="5"/>
      <c r="E37" s="5" t="str">
        <f>IF(ISBLANK(C37),"",RANK(C37,C$2:C$367,0)+COUNTIF(C$2:C37,C37)-1)</f>
        <v/>
      </c>
    </row>
    <row r="38" spans="1:5" x14ac:dyDescent="0.3">
      <c r="A38" s="5"/>
      <c r="B38" s="5"/>
      <c r="C38" s="7"/>
      <c r="D38" s="5"/>
      <c r="E38" s="5" t="str">
        <f>IF(ISBLANK(C38),"",RANK(C38,C$2:C$367,0)+COUNTIF(C$2:C38,C38)-1)</f>
        <v/>
      </c>
    </row>
    <row r="39" spans="1:5" x14ac:dyDescent="0.3">
      <c r="A39" s="5"/>
      <c r="B39" s="5"/>
      <c r="C39" s="7"/>
      <c r="D39" s="5"/>
      <c r="E39" s="5" t="str">
        <f>IF(ISBLANK(C39),"",RANK(C39,C$2:C$367,0)+COUNTIF(C$2:C39,C39)-1)</f>
        <v/>
      </c>
    </row>
    <row r="40" spans="1:5" x14ac:dyDescent="0.3">
      <c r="A40" s="5"/>
      <c r="B40" s="5"/>
      <c r="C40" s="7"/>
      <c r="D40" s="5"/>
      <c r="E40" s="5" t="str">
        <f>IF(ISBLANK(C40),"",RANK(C40,C$2:C$367,0)+COUNTIF(C$2:C40,C40)-1)</f>
        <v/>
      </c>
    </row>
    <row r="41" spans="1:5" x14ac:dyDescent="0.3">
      <c r="A41" s="5"/>
      <c r="B41" s="5"/>
      <c r="C41" s="7"/>
      <c r="D41" s="5"/>
      <c r="E41" s="5" t="str">
        <f>IF(ISBLANK(C41),"",RANK(C41,C$2:C$367,0)+COUNTIF(C$2:C41,C41)-1)</f>
        <v/>
      </c>
    </row>
    <row r="42" spans="1:5" x14ac:dyDescent="0.3">
      <c r="A42" s="5"/>
      <c r="B42" s="5"/>
      <c r="C42" s="7"/>
      <c r="D42" s="5"/>
      <c r="E42" s="5" t="str">
        <f>IF(ISBLANK(C42),"",RANK(C42,C$2:C$367,0)+COUNTIF(C$2:C42,C42)-1)</f>
        <v/>
      </c>
    </row>
    <row r="43" spans="1:5" x14ac:dyDescent="0.3">
      <c r="A43" s="5"/>
      <c r="B43" s="5"/>
      <c r="C43" s="7"/>
      <c r="D43" s="5"/>
      <c r="E43" s="5" t="str">
        <f>IF(ISBLANK(C43),"",RANK(C43,C$2:C$367,0)+COUNTIF(C$2:C43,C43)-1)</f>
        <v/>
      </c>
    </row>
    <row r="44" spans="1:5" x14ac:dyDescent="0.3">
      <c r="A44" s="5"/>
      <c r="B44" s="5"/>
      <c r="C44" s="7"/>
      <c r="D44" s="5"/>
      <c r="E44" s="5" t="str">
        <f>IF(ISBLANK(C44),"",RANK(C44,C$2:C$367,0)+COUNTIF(C$2:C44,C44)-1)</f>
        <v/>
      </c>
    </row>
    <row r="45" spans="1:5" x14ac:dyDescent="0.3">
      <c r="A45" s="5"/>
      <c r="B45" s="5"/>
      <c r="C45" s="7"/>
      <c r="D45" s="5"/>
      <c r="E45" s="5" t="str">
        <f>IF(ISBLANK(C45),"",RANK(C45,C$2:C$367,0)+COUNTIF(C$2:C45,C45)-1)</f>
        <v/>
      </c>
    </row>
    <row r="46" spans="1:5" x14ac:dyDescent="0.3">
      <c r="A46" s="5"/>
      <c r="B46" s="5"/>
      <c r="C46" s="7"/>
      <c r="D46" s="5"/>
      <c r="E46" s="5" t="str">
        <f>IF(ISBLANK(C46),"",RANK(C46,C$2:C$367,0)+COUNTIF(C$2:C46,C46)-1)</f>
        <v/>
      </c>
    </row>
    <row r="47" spans="1:5" x14ac:dyDescent="0.3">
      <c r="A47" s="5"/>
      <c r="B47" s="5"/>
      <c r="C47" s="7"/>
      <c r="D47" s="5"/>
      <c r="E47" s="5" t="str">
        <f>IF(ISBLANK(C47),"",RANK(C47,C$2:C$367,0)+COUNTIF(C$2:C47,C47)-1)</f>
        <v/>
      </c>
    </row>
    <row r="48" spans="1:5" x14ac:dyDescent="0.3">
      <c r="A48" s="5"/>
      <c r="B48" s="5"/>
      <c r="C48" s="7"/>
      <c r="D48" s="5"/>
      <c r="E48" s="5" t="str">
        <f>IF(ISBLANK(C48),"",RANK(C48,C$2:C$367,0)+COUNTIF(C$2:C48,C48)-1)</f>
        <v/>
      </c>
    </row>
    <row r="49" spans="1:5" x14ac:dyDescent="0.3">
      <c r="A49" s="5"/>
      <c r="B49" s="5"/>
      <c r="C49" s="7"/>
      <c r="D49" s="5"/>
      <c r="E49" s="5" t="str">
        <f>IF(ISBLANK(C49),"",RANK(C49,C$2:C$367,0)+COUNTIF(C$2:C49,C49)-1)</f>
        <v/>
      </c>
    </row>
    <row r="50" spans="1:5" x14ac:dyDescent="0.3">
      <c r="A50" s="5"/>
      <c r="B50" s="5"/>
      <c r="C50" s="7"/>
      <c r="D50" s="5"/>
      <c r="E50" s="5" t="str">
        <f>IF(ISBLANK(C50),"",RANK(C50,C$2:C$367,0)+COUNTIF(C$2:C50,C50)-1)</f>
        <v/>
      </c>
    </row>
    <row r="51" spans="1:5" x14ac:dyDescent="0.3">
      <c r="A51" s="5"/>
      <c r="B51" s="5"/>
      <c r="C51" s="7"/>
      <c r="D51" s="5"/>
      <c r="E51" s="5" t="str">
        <f>IF(ISBLANK(C51),"",RANK(C51,C$2:C$367,0)+COUNTIF(C$2:C51,C51)-1)</f>
        <v/>
      </c>
    </row>
    <row r="52" spans="1:5" x14ac:dyDescent="0.3">
      <c r="A52" s="5"/>
      <c r="B52" s="5"/>
      <c r="C52" s="7"/>
      <c r="D52" s="5"/>
      <c r="E52" s="5" t="str">
        <f>IF(ISBLANK(C52),"",RANK(C52,C$2:C$367,0)+COUNTIF(C$2:C52,C52)-1)</f>
        <v/>
      </c>
    </row>
    <row r="53" spans="1:5" x14ac:dyDescent="0.3">
      <c r="A53" s="5"/>
      <c r="B53" s="5"/>
      <c r="C53" s="7"/>
      <c r="D53" s="5"/>
      <c r="E53" s="5" t="str">
        <f>IF(ISBLANK(C53),"",RANK(C53,C$2:C$367,0)+COUNTIF(C$2:C53,C53)-1)</f>
        <v/>
      </c>
    </row>
    <row r="54" spans="1:5" x14ac:dyDescent="0.3">
      <c r="A54" s="5"/>
      <c r="B54" s="5"/>
      <c r="C54" s="7"/>
      <c r="D54" s="5"/>
      <c r="E54" s="5" t="str">
        <f>IF(ISBLANK(C54),"",RANK(C54,C$2:C$367,0)+COUNTIF(C$2:C54,C54)-1)</f>
        <v/>
      </c>
    </row>
    <row r="55" spans="1:5" x14ac:dyDescent="0.3">
      <c r="A55" s="5"/>
      <c r="B55" s="5"/>
      <c r="C55" s="7"/>
      <c r="D55" s="5"/>
      <c r="E55" s="5" t="str">
        <f>IF(ISBLANK(C55),"",RANK(C55,C$2:C$367,0)+COUNTIF(C$2:C55,C55)-1)</f>
        <v/>
      </c>
    </row>
    <row r="56" spans="1:5" x14ac:dyDescent="0.3">
      <c r="A56" s="5"/>
      <c r="B56" s="5"/>
      <c r="C56" s="7"/>
      <c r="D56" s="5"/>
      <c r="E56" s="5" t="str">
        <f>IF(ISBLANK(C56),"",RANK(C56,C$2:C$367,0)+COUNTIF(C$2:C56,C56)-1)</f>
        <v/>
      </c>
    </row>
    <row r="57" spans="1:5" x14ac:dyDescent="0.3">
      <c r="A57" s="5"/>
      <c r="B57" s="5"/>
      <c r="C57" s="7"/>
      <c r="D57" s="5"/>
      <c r="E57" s="5" t="str">
        <f>IF(ISBLANK(C57),"",RANK(C57,C$2:C$367,0)+COUNTIF(C$2:C57,C57)-1)</f>
        <v/>
      </c>
    </row>
    <row r="58" spans="1:5" x14ac:dyDescent="0.3">
      <c r="A58" s="5"/>
      <c r="B58" s="5"/>
      <c r="C58" s="7"/>
      <c r="D58" s="5"/>
      <c r="E58" s="5" t="str">
        <f>IF(ISBLANK(C58),"",RANK(C58,C$2:C$367,0)+COUNTIF(C$2:C58,C58)-1)</f>
        <v/>
      </c>
    </row>
    <row r="59" spans="1:5" x14ac:dyDescent="0.3">
      <c r="A59" s="5"/>
      <c r="B59" s="5"/>
      <c r="C59" s="7"/>
      <c r="D59" s="5"/>
      <c r="E59" s="5" t="str">
        <f>IF(ISBLANK(C59),"",RANK(C59,C$2:C$367,0)+COUNTIF(C$2:C59,C59)-1)</f>
        <v/>
      </c>
    </row>
    <row r="60" spans="1:5" x14ac:dyDescent="0.3">
      <c r="A60" s="5"/>
      <c r="B60" s="5"/>
      <c r="C60" s="7"/>
      <c r="D60" s="5"/>
      <c r="E60" s="5" t="str">
        <f>IF(ISBLANK(C60),"",RANK(C60,C$2:C$367,0)+COUNTIF(C$2:C60,C60)-1)</f>
        <v/>
      </c>
    </row>
    <row r="61" spans="1:5" x14ac:dyDescent="0.3">
      <c r="A61" s="5"/>
      <c r="B61" s="5"/>
      <c r="C61" s="7"/>
      <c r="D61" s="5"/>
      <c r="E61" s="5" t="str">
        <f>IF(ISBLANK(C61),"",RANK(C61,C$2:C$367,0)+COUNTIF(C$2:C61,C61)-1)</f>
        <v/>
      </c>
    </row>
    <row r="62" spans="1:5" x14ac:dyDescent="0.3">
      <c r="A62" s="5"/>
      <c r="B62" s="5"/>
      <c r="C62" s="7"/>
      <c r="D62" s="5"/>
      <c r="E62" s="5" t="str">
        <f>IF(ISBLANK(C62),"",RANK(C62,C$2:C$367,0)+COUNTIF(C$2:C62,C62)-1)</f>
        <v/>
      </c>
    </row>
    <row r="63" spans="1:5" x14ac:dyDescent="0.3">
      <c r="A63" s="5"/>
      <c r="B63" s="5"/>
      <c r="C63" s="7"/>
      <c r="D63" s="5"/>
      <c r="E63" s="5" t="str">
        <f>IF(ISBLANK(C63),"",RANK(C63,C$2:C$367,0)+COUNTIF(C$2:C63,C63)-1)</f>
        <v/>
      </c>
    </row>
    <row r="64" spans="1:5" x14ac:dyDescent="0.3">
      <c r="A64" s="5"/>
      <c r="B64" s="5"/>
      <c r="C64" s="7"/>
      <c r="D64" s="5"/>
      <c r="E64" s="5" t="str">
        <f>IF(ISBLANK(C64),"",RANK(C64,C$2:C$367,0)+COUNTIF(C$2:C64,C64)-1)</f>
        <v/>
      </c>
    </row>
    <row r="65" spans="1:5" x14ac:dyDescent="0.3">
      <c r="A65" s="5"/>
      <c r="B65" s="5"/>
      <c r="C65" s="7"/>
      <c r="D65" s="5"/>
      <c r="E65" s="5" t="str">
        <f>IF(ISBLANK(C65),"",RANK(C65,C$2:C$367,0)+COUNTIF(C$2:C65,C65)-1)</f>
        <v/>
      </c>
    </row>
    <row r="66" spans="1:5" x14ac:dyDescent="0.3">
      <c r="A66" s="5"/>
      <c r="B66" s="5"/>
      <c r="C66" s="7"/>
      <c r="D66" s="5"/>
      <c r="E66" s="5" t="str">
        <f>IF(ISBLANK(C66),"",RANK(C66,C$2:C$367,0)+COUNTIF(C$2:C66,C66)-1)</f>
        <v/>
      </c>
    </row>
    <row r="67" spans="1:5" x14ac:dyDescent="0.3">
      <c r="A67" s="5"/>
      <c r="B67" s="5"/>
      <c r="C67" s="7"/>
      <c r="D67" s="5"/>
      <c r="E67" s="5" t="str">
        <f>IF(ISBLANK(C67),"",RANK(C67,C$2:C$367,0)+COUNTIF(C$2:C67,C67)-1)</f>
        <v/>
      </c>
    </row>
    <row r="68" spans="1:5" x14ac:dyDescent="0.3">
      <c r="A68" s="5"/>
      <c r="B68" s="5"/>
      <c r="C68" s="7"/>
      <c r="D68" s="5"/>
      <c r="E68" s="5" t="str">
        <f>IF(ISBLANK(C68),"",RANK(C68,C$2:C$367,0)+COUNTIF(C$2:C68,C68)-1)</f>
        <v/>
      </c>
    </row>
    <row r="69" spans="1:5" x14ac:dyDescent="0.3">
      <c r="A69" s="5"/>
      <c r="B69" s="5"/>
      <c r="C69" s="7"/>
      <c r="D69" s="5"/>
      <c r="E69" s="5" t="str">
        <f>IF(ISBLANK(C69),"",RANK(C69,C$2:C$367,0)+COUNTIF(C$2:C69,C69)-1)</f>
        <v/>
      </c>
    </row>
    <row r="70" spans="1:5" x14ac:dyDescent="0.3">
      <c r="A70" s="5"/>
      <c r="B70" s="5"/>
      <c r="C70" s="7"/>
      <c r="D70" s="5"/>
      <c r="E70" s="5" t="str">
        <f>IF(ISBLANK(C70),"",RANK(C70,C$2:C$367,0)+COUNTIF(C$2:C70,C70)-1)</f>
        <v/>
      </c>
    </row>
    <row r="71" spans="1:5" x14ac:dyDescent="0.3">
      <c r="A71" s="5"/>
      <c r="B71" s="5"/>
      <c r="C71" s="7"/>
      <c r="D71" s="5"/>
      <c r="E71" s="5" t="str">
        <f>IF(ISBLANK(C71),"",RANK(C71,C$2:C$367,0)+COUNTIF(C$2:C71,C71)-1)</f>
        <v/>
      </c>
    </row>
    <row r="72" spans="1:5" x14ac:dyDescent="0.3">
      <c r="A72" s="5"/>
      <c r="B72" s="5"/>
      <c r="C72" s="7"/>
      <c r="D72" s="5"/>
      <c r="E72" s="5" t="str">
        <f>IF(ISBLANK(C72),"",RANK(C72,C$2:C$367,0)+COUNTIF(C$2:C72,C72)-1)</f>
        <v/>
      </c>
    </row>
    <row r="73" spans="1:5" x14ac:dyDescent="0.3">
      <c r="A73" s="5"/>
      <c r="B73" s="5"/>
      <c r="C73" s="7"/>
      <c r="D73" s="5"/>
      <c r="E73" s="5" t="str">
        <f>IF(ISBLANK(C73),"",RANK(C73,C$2:C$367,0)+COUNTIF(C$2:C73,C73)-1)</f>
        <v/>
      </c>
    </row>
    <row r="74" spans="1:5" x14ac:dyDescent="0.3">
      <c r="A74" s="5"/>
      <c r="B74" s="5"/>
      <c r="C74" s="7"/>
      <c r="D74" s="5"/>
      <c r="E74" s="5" t="str">
        <f>IF(ISBLANK(C74),"",RANK(C74,C$2:C$367,0)+COUNTIF(C$2:C74,C74)-1)</f>
        <v/>
      </c>
    </row>
    <row r="75" spans="1:5" x14ac:dyDescent="0.3">
      <c r="A75" s="5"/>
      <c r="B75" s="5"/>
      <c r="C75" s="7"/>
      <c r="D75" s="5"/>
      <c r="E75" s="5" t="str">
        <f>IF(ISBLANK(C75),"",RANK(C75,C$2:C$367,0)+COUNTIF(C$2:C75,C75)-1)</f>
        <v/>
      </c>
    </row>
    <row r="76" spans="1:5" x14ac:dyDescent="0.3">
      <c r="A76" s="5"/>
      <c r="B76" s="5"/>
      <c r="C76" s="7"/>
      <c r="D76" s="5"/>
      <c r="E76" s="5" t="str">
        <f>IF(ISBLANK(C76),"",RANK(C76,C$2:C$367,0)+COUNTIF(C$2:C76,C76)-1)</f>
        <v/>
      </c>
    </row>
    <row r="77" spans="1:5" x14ac:dyDescent="0.3">
      <c r="A77" s="5"/>
      <c r="B77" s="5"/>
      <c r="C77" s="7"/>
      <c r="D77" s="5"/>
      <c r="E77" s="5" t="str">
        <f>IF(ISBLANK(C77),"",RANK(C77,C$2:C$367,0)+COUNTIF(C$2:C77,C77)-1)</f>
        <v/>
      </c>
    </row>
    <row r="78" spans="1:5" x14ac:dyDescent="0.3">
      <c r="A78" s="5"/>
      <c r="B78" s="5"/>
      <c r="C78" s="7"/>
      <c r="D78" s="5"/>
      <c r="E78" s="5" t="str">
        <f>IF(ISBLANK(C78),"",RANK(C78,C$2:C$367,0)+COUNTIF(C$2:C78,C78)-1)</f>
        <v/>
      </c>
    </row>
    <row r="79" spans="1:5" x14ac:dyDescent="0.3">
      <c r="A79" s="5"/>
      <c r="B79" s="5"/>
      <c r="C79" s="7"/>
      <c r="D79" s="5"/>
      <c r="E79" s="5" t="str">
        <f>IF(ISBLANK(C79),"",RANK(C79,C$2:C$367,0)+COUNTIF(C$2:C79,C79)-1)</f>
        <v/>
      </c>
    </row>
    <row r="80" spans="1:5" x14ac:dyDescent="0.3">
      <c r="A80" s="5"/>
      <c r="B80" s="5"/>
      <c r="C80" s="7"/>
      <c r="D80" s="5"/>
      <c r="E80" s="5" t="str">
        <f>IF(ISBLANK(C80),"",RANK(C80,C$2:C$367,0)+COUNTIF(C$2:C80,C80)-1)</f>
        <v/>
      </c>
    </row>
    <row r="81" spans="1:5" x14ac:dyDescent="0.3">
      <c r="A81" s="5"/>
      <c r="B81" s="5"/>
      <c r="C81" s="7"/>
      <c r="D81" s="5"/>
      <c r="E81" s="5" t="str">
        <f>IF(ISBLANK(C81),"",RANK(C81,C$2:C$367,0)+COUNTIF(C$2:C81,C81)-1)</f>
        <v/>
      </c>
    </row>
    <row r="82" spans="1:5" x14ac:dyDescent="0.3">
      <c r="A82" s="5"/>
      <c r="B82" s="5"/>
      <c r="C82" s="7"/>
      <c r="D82" s="5"/>
      <c r="E82" s="5" t="str">
        <f>IF(ISBLANK(C82),"",RANK(C82,C$2:C$367,0)+COUNTIF(C$2:C82,C82)-1)</f>
        <v/>
      </c>
    </row>
    <row r="83" spans="1:5" x14ac:dyDescent="0.3">
      <c r="A83" s="5"/>
      <c r="B83" s="5"/>
      <c r="C83" s="7"/>
      <c r="D83" s="5"/>
      <c r="E83" s="5" t="str">
        <f>IF(ISBLANK(C83),"",RANK(C83,C$2:C$367,0)+COUNTIF(C$2:C83,C83)-1)</f>
        <v/>
      </c>
    </row>
    <row r="84" spans="1:5" x14ac:dyDescent="0.3">
      <c r="A84" s="5"/>
      <c r="B84" s="5"/>
      <c r="C84" s="7"/>
      <c r="D84" s="5"/>
      <c r="E84" s="5" t="str">
        <f>IF(ISBLANK(C84),"",RANK(C84,C$2:C$367,0)+COUNTIF(C$2:C84,C84)-1)</f>
        <v/>
      </c>
    </row>
    <row r="85" spans="1:5" x14ac:dyDescent="0.3">
      <c r="A85" s="5"/>
      <c r="B85" s="5"/>
      <c r="C85" s="7"/>
      <c r="D85" s="5"/>
      <c r="E85" s="5" t="str">
        <f>IF(ISBLANK(C85),"",RANK(C85,C$2:C$367,0)+COUNTIF(C$2:C85,C85)-1)</f>
        <v/>
      </c>
    </row>
    <row r="86" spans="1:5" x14ac:dyDescent="0.3">
      <c r="A86" s="5"/>
      <c r="B86" s="5"/>
      <c r="C86" s="7"/>
      <c r="D86" s="5"/>
      <c r="E86" s="5" t="str">
        <f>IF(ISBLANK(C86),"",RANK(C86,C$2:C$367,0)+COUNTIF(C$2:C86,C86)-1)</f>
        <v/>
      </c>
    </row>
    <row r="87" spans="1:5" x14ac:dyDescent="0.3">
      <c r="A87" s="5"/>
      <c r="B87" s="5"/>
      <c r="C87" s="7"/>
      <c r="D87" s="5"/>
      <c r="E87" s="5" t="str">
        <f>IF(ISBLANK(C87),"",RANK(C87,C$2:C$367,0)+COUNTIF(C$2:C87,C87)-1)</f>
        <v/>
      </c>
    </row>
    <row r="88" spans="1:5" x14ac:dyDescent="0.3">
      <c r="A88" s="5"/>
      <c r="B88" s="5"/>
      <c r="C88" s="7"/>
      <c r="D88" s="5"/>
      <c r="E88" s="5" t="str">
        <f>IF(ISBLANK(C88),"",RANK(C88,C$2:C$367,0)+COUNTIF(C$2:C88,C88)-1)</f>
        <v/>
      </c>
    </row>
    <row r="89" spans="1:5" x14ac:dyDescent="0.3">
      <c r="A89" s="5"/>
      <c r="B89" s="5"/>
      <c r="C89" s="7"/>
      <c r="D89" s="5"/>
      <c r="E89" s="5" t="str">
        <f>IF(ISBLANK(C89),"",RANK(C89,C$2:C$367,0)+COUNTIF(C$2:C89,C89)-1)</f>
        <v/>
      </c>
    </row>
    <row r="90" spans="1:5" x14ac:dyDescent="0.3">
      <c r="A90" s="5"/>
      <c r="B90" s="5"/>
      <c r="C90" s="7"/>
      <c r="D90" s="5"/>
      <c r="E90" s="5" t="str">
        <f>IF(ISBLANK(C90),"",RANK(C90,C$2:C$367,0)+COUNTIF(C$2:C90,C90)-1)</f>
        <v/>
      </c>
    </row>
    <row r="91" spans="1:5" x14ac:dyDescent="0.3">
      <c r="A91" s="5"/>
      <c r="B91" s="5"/>
      <c r="C91" s="7"/>
      <c r="D91" s="5"/>
      <c r="E91" s="5" t="str">
        <f>IF(ISBLANK(C91),"",RANK(C91,C$2:C$367,0)+COUNTIF(C$2:C91,C91)-1)</f>
        <v/>
      </c>
    </row>
    <row r="92" spans="1:5" x14ac:dyDescent="0.3">
      <c r="A92" s="5"/>
      <c r="B92" s="5"/>
      <c r="C92" s="7"/>
      <c r="D92" s="5"/>
      <c r="E92" s="5" t="str">
        <f>IF(ISBLANK(C92),"",RANK(C92,C$2:C$367,0)+COUNTIF(C$2:C92,C92)-1)</f>
        <v/>
      </c>
    </row>
    <row r="93" spans="1:5" x14ac:dyDescent="0.3">
      <c r="A93" s="5"/>
      <c r="B93" s="5"/>
      <c r="C93" s="7"/>
      <c r="D93" s="5"/>
      <c r="E93" s="5" t="str">
        <f>IF(ISBLANK(C93),"",RANK(C93,C$2:C$367,0)+COUNTIF(C$2:C93,C93)-1)</f>
        <v/>
      </c>
    </row>
    <row r="94" spans="1:5" x14ac:dyDescent="0.3">
      <c r="A94" s="5"/>
      <c r="B94" s="5"/>
      <c r="C94" s="7"/>
      <c r="D94" s="5"/>
      <c r="E94" s="5" t="str">
        <f>IF(ISBLANK(C94),"",RANK(C94,C$2:C$367,0)+COUNTIF(C$2:C94,C94)-1)</f>
        <v/>
      </c>
    </row>
    <row r="95" spans="1:5" x14ac:dyDescent="0.3">
      <c r="A95" s="5"/>
      <c r="B95" s="5"/>
      <c r="C95" s="7"/>
      <c r="D95" s="5"/>
      <c r="E95" s="5" t="str">
        <f>IF(ISBLANK(C95),"",RANK(C95,C$2:C$367,0)+COUNTIF(C$2:C95,C95)-1)</f>
        <v/>
      </c>
    </row>
    <row r="96" spans="1:5" x14ac:dyDescent="0.3">
      <c r="A96" s="5"/>
      <c r="B96" s="5"/>
      <c r="C96" s="7"/>
      <c r="D96" s="5"/>
      <c r="E96" s="5" t="str">
        <f>IF(ISBLANK(C96),"",RANK(C96,C$2:C$367,0)+COUNTIF(C$2:C96,C96)-1)</f>
        <v/>
      </c>
    </row>
    <row r="97" spans="1:5" x14ac:dyDescent="0.3">
      <c r="A97" s="5"/>
      <c r="B97" s="5"/>
      <c r="C97" s="7"/>
      <c r="D97" s="5"/>
      <c r="E97" s="5" t="str">
        <f>IF(ISBLANK(C97),"",RANK(C97,C$2:C$367,0)+COUNTIF(C$2:C97,C97)-1)</f>
        <v/>
      </c>
    </row>
    <row r="98" spans="1:5" x14ac:dyDescent="0.3">
      <c r="A98" s="5"/>
      <c r="B98" s="5"/>
      <c r="C98" s="7"/>
      <c r="D98" s="5"/>
      <c r="E98" s="5" t="str">
        <f>IF(ISBLANK(C98),"",RANK(C98,C$2:C$367,0)+COUNTIF(C$2:C98,C98)-1)</f>
        <v/>
      </c>
    </row>
    <row r="99" spans="1:5" x14ac:dyDescent="0.3">
      <c r="A99" s="5"/>
      <c r="B99" s="5"/>
      <c r="C99" s="7"/>
      <c r="D99" s="5"/>
      <c r="E99" s="5" t="str">
        <f>IF(ISBLANK(C99),"",RANK(C99,C$2:C$367,0)+COUNTIF(C$2:C99,C99)-1)</f>
        <v/>
      </c>
    </row>
    <row r="100" spans="1:5" x14ac:dyDescent="0.3">
      <c r="A100" s="5"/>
      <c r="B100" s="5"/>
      <c r="C100" s="7"/>
      <c r="D100" s="5"/>
      <c r="E100" s="5" t="str">
        <f>IF(ISBLANK(C100),"",RANK(C100,C$2:C$367,0)+COUNTIF(C$2:C100,C100)-1)</f>
        <v/>
      </c>
    </row>
    <row r="101" spans="1:5" x14ac:dyDescent="0.3">
      <c r="A101" s="5"/>
      <c r="B101" s="5"/>
      <c r="C101" s="7"/>
      <c r="D101" s="5"/>
      <c r="E101" s="5" t="str">
        <f>IF(ISBLANK(C101),"",RANK(C101,C$2:C$367,0)+COUNTIF(C$2:C101,C101)-1)</f>
        <v/>
      </c>
    </row>
    <row r="102" spans="1:5" x14ac:dyDescent="0.3">
      <c r="A102" s="5"/>
      <c r="B102" s="5"/>
      <c r="C102" s="7"/>
      <c r="D102" s="5"/>
      <c r="E102" s="5" t="str">
        <f>IF(ISBLANK(C102),"",RANK(C102,C$2:C$367,0)+COUNTIF(C$2:C102,C102)-1)</f>
        <v/>
      </c>
    </row>
    <row r="103" spans="1:5" x14ac:dyDescent="0.3">
      <c r="A103" s="5"/>
      <c r="B103" s="5"/>
      <c r="C103" s="7"/>
      <c r="D103" s="5"/>
      <c r="E103" s="5" t="str">
        <f>IF(ISBLANK(C103),"",RANK(C103,C$2:C$367,0)+COUNTIF(C$2:C103,C103)-1)</f>
        <v/>
      </c>
    </row>
    <row r="104" spans="1:5" x14ac:dyDescent="0.3">
      <c r="A104" s="5"/>
      <c r="B104" s="5"/>
      <c r="C104" s="7"/>
      <c r="D104" s="5"/>
      <c r="E104" s="5" t="str">
        <f>IF(ISBLANK(C104),"",RANK(C104,C$2:C$367,0)+COUNTIF(C$2:C104,C104)-1)</f>
        <v/>
      </c>
    </row>
    <row r="105" spans="1:5" x14ac:dyDescent="0.3">
      <c r="A105" s="5"/>
      <c r="B105" s="5"/>
      <c r="C105" s="7"/>
      <c r="D105" s="5"/>
      <c r="E105" s="5" t="str">
        <f>IF(ISBLANK(C105),"",RANK(C105,C$2:C$367,0)+COUNTIF(C$2:C105,C105)-1)</f>
        <v/>
      </c>
    </row>
    <row r="106" spans="1:5" x14ac:dyDescent="0.3">
      <c r="A106" s="5"/>
      <c r="B106" s="5"/>
      <c r="C106" s="7"/>
      <c r="D106" s="5"/>
      <c r="E106" s="5" t="str">
        <f>IF(ISBLANK(C106),"",RANK(C106,C$2:C$367,0)+COUNTIF(C$2:C106,C106)-1)</f>
        <v/>
      </c>
    </row>
    <row r="107" spans="1:5" x14ac:dyDescent="0.3">
      <c r="A107" s="5"/>
      <c r="B107" s="5"/>
      <c r="C107" s="7"/>
      <c r="D107" s="5"/>
      <c r="E107" s="5" t="str">
        <f>IF(ISBLANK(C107),"",RANK(C107,C$2:C$367,0)+COUNTIF(C$2:C107,C107)-1)</f>
        <v/>
      </c>
    </row>
    <row r="108" spans="1:5" x14ac:dyDescent="0.3">
      <c r="A108" s="5"/>
      <c r="B108" s="5"/>
      <c r="C108" s="7"/>
      <c r="D108" s="5"/>
      <c r="E108" s="5" t="str">
        <f>IF(ISBLANK(C108),"",RANK(C108,C$2:C$367,0)+COUNTIF(C$2:C108,C108)-1)</f>
        <v/>
      </c>
    </row>
    <row r="109" spans="1:5" x14ac:dyDescent="0.3">
      <c r="A109" s="5"/>
      <c r="B109" s="5"/>
      <c r="C109" s="7"/>
      <c r="D109" s="5"/>
      <c r="E109" s="5" t="str">
        <f>IF(ISBLANK(C109),"",RANK(C109,C$2:C$367,0)+COUNTIF(C$2:C109,C109)-1)</f>
        <v/>
      </c>
    </row>
    <row r="110" spans="1:5" x14ac:dyDescent="0.3">
      <c r="A110" s="5"/>
      <c r="B110" s="5"/>
      <c r="C110" s="7"/>
      <c r="D110" s="5"/>
      <c r="E110" s="5" t="str">
        <f>IF(ISBLANK(C110),"",RANK(C110,C$2:C$367,0)+COUNTIF(C$2:C110,C110)-1)</f>
        <v/>
      </c>
    </row>
    <row r="111" spans="1:5" x14ac:dyDescent="0.3">
      <c r="A111" s="5"/>
      <c r="B111" s="5"/>
      <c r="C111" s="7"/>
      <c r="D111" s="5"/>
      <c r="E111" s="5" t="str">
        <f>IF(ISBLANK(C111),"",RANK(C111,C$2:C$367,0)+COUNTIF(C$2:C111,C111)-1)</f>
        <v/>
      </c>
    </row>
    <row r="112" spans="1:5" x14ac:dyDescent="0.3">
      <c r="A112" s="5"/>
      <c r="B112" s="5"/>
      <c r="C112" s="7"/>
      <c r="D112" s="5"/>
      <c r="E112" s="5" t="str">
        <f>IF(ISBLANK(C112),"",RANK(C112,C$2:C$367,0)+COUNTIF(C$2:C112,C112)-1)</f>
        <v/>
      </c>
    </row>
    <row r="113" spans="1:5" x14ac:dyDescent="0.3">
      <c r="A113" s="5"/>
      <c r="B113" s="5"/>
      <c r="C113" s="7"/>
      <c r="D113" s="5"/>
      <c r="E113" s="5" t="str">
        <f>IF(ISBLANK(C113),"",RANK(C113,C$2:C$367,0)+COUNTIF(C$2:C113,C113)-1)</f>
        <v/>
      </c>
    </row>
    <row r="114" spans="1:5" x14ac:dyDescent="0.3">
      <c r="A114" s="5"/>
      <c r="B114" s="5"/>
      <c r="C114" s="7"/>
      <c r="D114" s="5"/>
      <c r="E114" s="5" t="str">
        <f>IF(ISBLANK(C114),"",RANK(C114,C$2:C$367,0)+COUNTIF(C$2:C114,C114)-1)</f>
        <v/>
      </c>
    </row>
    <row r="115" spans="1:5" x14ac:dyDescent="0.3">
      <c r="A115" s="5"/>
      <c r="B115" s="5"/>
      <c r="C115" s="7"/>
      <c r="D115" s="5"/>
      <c r="E115" s="5" t="str">
        <f>IF(ISBLANK(C115),"",RANK(C115,C$2:C$367,0)+COUNTIF(C$2:C115,C115)-1)</f>
        <v/>
      </c>
    </row>
    <row r="116" spans="1:5" x14ac:dyDescent="0.3">
      <c r="A116" s="5"/>
      <c r="B116" s="5"/>
      <c r="C116" s="7"/>
      <c r="D116" s="5"/>
      <c r="E116" s="5" t="str">
        <f>IF(ISBLANK(C116),"",RANK(C116,C$2:C$367,0)+COUNTIF(C$2:C116,C116)-1)</f>
        <v/>
      </c>
    </row>
    <row r="117" spans="1:5" x14ac:dyDescent="0.3">
      <c r="A117" s="5"/>
      <c r="B117" s="5"/>
      <c r="C117" s="7"/>
      <c r="D117" s="5"/>
      <c r="E117" s="5" t="str">
        <f>IF(ISBLANK(C117),"",RANK(C117,C$2:C$367,0)+COUNTIF(C$2:C117,C117)-1)</f>
        <v/>
      </c>
    </row>
    <row r="118" spans="1:5" x14ac:dyDescent="0.3">
      <c r="A118" s="5"/>
      <c r="B118" s="5"/>
      <c r="C118" s="7"/>
      <c r="D118" s="5"/>
      <c r="E118" s="5" t="str">
        <f>IF(ISBLANK(C118),"",RANK(C118,C$2:C$367,0)+COUNTIF(C$2:C118,C118)-1)</f>
        <v/>
      </c>
    </row>
    <row r="119" spans="1:5" x14ac:dyDescent="0.3">
      <c r="A119" s="5"/>
      <c r="B119" s="5"/>
      <c r="C119" s="7"/>
      <c r="D119" s="5"/>
      <c r="E119" s="5" t="str">
        <f>IF(ISBLANK(C119),"",RANK(C119,C$2:C$367,0)+COUNTIF(C$2:C119,C119)-1)</f>
        <v/>
      </c>
    </row>
    <row r="120" spans="1:5" x14ac:dyDescent="0.3">
      <c r="A120" s="5"/>
      <c r="B120" s="5"/>
      <c r="C120" s="7"/>
      <c r="D120" s="5"/>
      <c r="E120" s="5" t="str">
        <f>IF(ISBLANK(C120),"",RANK(C120,C$2:C$367,0)+COUNTIF(C$2:C120,C120)-1)</f>
        <v/>
      </c>
    </row>
    <row r="121" spans="1:5" x14ac:dyDescent="0.3">
      <c r="A121" s="5"/>
      <c r="B121" s="5"/>
      <c r="C121" s="7"/>
      <c r="D121" s="5"/>
      <c r="E121" s="5" t="str">
        <f>IF(ISBLANK(C121),"",RANK(C121,C$2:C$367,0)+COUNTIF(C$2:C121,C121)-1)</f>
        <v/>
      </c>
    </row>
    <row r="122" spans="1:5" x14ac:dyDescent="0.3">
      <c r="A122" s="5"/>
      <c r="B122" s="5"/>
      <c r="C122" s="7"/>
      <c r="D122" s="5"/>
      <c r="E122" s="5" t="str">
        <f>IF(ISBLANK(C122),"",RANK(C122,C$2:C$367,0)+COUNTIF(C$2:C122,C122)-1)</f>
        <v/>
      </c>
    </row>
    <row r="123" spans="1:5" x14ac:dyDescent="0.3">
      <c r="A123" s="5"/>
      <c r="B123" s="5"/>
      <c r="C123" s="7"/>
      <c r="D123" s="5"/>
      <c r="E123" s="5" t="str">
        <f>IF(ISBLANK(C123),"",RANK(C123,C$2:C$367,0)+COUNTIF(C$2:C123,C123)-1)</f>
        <v/>
      </c>
    </row>
    <row r="124" spans="1:5" x14ac:dyDescent="0.3">
      <c r="A124" s="5"/>
      <c r="B124" s="5"/>
      <c r="C124" s="7"/>
      <c r="D124" s="5"/>
      <c r="E124" s="5" t="str">
        <f>IF(ISBLANK(C124),"",RANK(C124,C$2:C$367,0)+COUNTIF(C$2:C124,C124)-1)</f>
        <v/>
      </c>
    </row>
    <row r="125" spans="1:5" x14ac:dyDescent="0.3">
      <c r="A125" s="5"/>
      <c r="B125" s="5"/>
      <c r="C125" s="7"/>
      <c r="D125" s="5"/>
      <c r="E125" s="5" t="str">
        <f>IF(ISBLANK(C125),"",RANK(C125,C$2:C$367,0)+COUNTIF(C$2:C125,C125)-1)</f>
        <v/>
      </c>
    </row>
    <row r="126" spans="1:5" x14ac:dyDescent="0.3">
      <c r="A126" s="5"/>
      <c r="B126" s="5"/>
      <c r="C126" s="7"/>
      <c r="D126" s="5"/>
      <c r="E126" s="5" t="str">
        <f>IF(ISBLANK(C126),"",RANK(C126,C$2:C$367,0)+COUNTIF(C$2:C126,C126)-1)</f>
        <v/>
      </c>
    </row>
    <row r="127" spans="1:5" x14ac:dyDescent="0.3">
      <c r="A127" s="5"/>
      <c r="B127" s="5"/>
      <c r="C127" s="7"/>
      <c r="D127" s="5"/>
      <c r="E127" s="5" t="str">
        <f>IF(ISBLANK(C127),"",RANK(C127,C$2:C$367,0)+COUNTIF(C$2:C127,C127)-1)</f>
        <v/>
      </c>
    </row>
    <row r="128" spans="1:5" x14ac:dyDescent="0.3">
      <c r="A128" s="5"/>
      <c r="B128" s="5"/>
      <c r="C128" s="7"/>
      <c r="D128" s="5"/>
      <c r="E128" s="5" t="str">
        <f>IF(ISBLANK(C128),"",RANK(C128,C$2:C$367,0)+COUNTIF(C$2:C128,C128)-1)</f>
        <v/>
      </c>
    </row>
    <row r="129" spans="1:5" x14ac:dyDescent="0.3">
      <c r="A129" s="5"/>
      <c r="B129" s="5"/>
      <c r="C129" s="7"/>
      <c r="D129" s="5"/>
      <c r="E129" s="5" t="str">
        <f>IF(ISBLANK(C129),"",RANK(C129,C$2:C$367,0)+COUNTIF(C$2:C129,C129)-1)</f>
        <v/>
      </c>
    </row>
    <row r="130" spans="1:5" x14ac:dyDescent="0.3">
      <c r="A130" s="5"/>
      <c r="B130" s="5"/>
      <c r="C130" s="7"/>
      <c r="D130" s="5"/>
      <c r="E130" s="5" t="str">
        <f>IF(ISBLANK(C130),"",RANK(C130,C$2:C$367,0)+COUNTIF(C$2:C130,C130)-1)</f>
        <v/>
      </c>
    </row>
    <row r="131" spans="1:5" x14ac:dyDescent="0.3">
      <c r="A131" s="5"/>
      <c r="B131" s="5"/>
      <c r="C131" s="7"/>
      <c r="D131" s="5"/>
      <c r="E131" s="5" t="str">
        <f>IF(ISBLANK(C131),"",RANK(C131,C$2:C$367,0)+COUNTIF(C$2:C131,C131)-1)</f>
        <v/>
      </c>
    </row>
    <row r="132" spans="1:5" x14ac:dyDescent="0.3">
      <c r="A132" s="5"/>
      <c r="B132" s="5"/>
      <c r="C132" s="7"/>
      <c r="D132" s="5"/>
      <c r="E132" s="5" t="str">
        <f>IF(ISBLANK(C132),"",RANK(C132,C$2:C$367,0)+COUNTIF(C$2:C132,C132)-1)</f>
        <v/>
      </c>
    </row>
    <row r="133" spans="1:5" x14ac:dyDescent="0.3">
      <c r="A133" s="5"/>
      <c r="B133" s="5"/>
      <c r="C133" s="7"/>
      <c r="D133" s="5"/>
      <c r="E133" s="5" t="str">
        <f>IF(ISBLANK(C133),"",RANK(C133,C$2:C$367,0)+COUNTIF(C$2:C133,C133)-1)</f>
        <v/>
      </c>
    </row>
    <row r="134" spans="1:5" x14ac:dyDescent="0.3">
      <c r="A134" s="5"/>
      <c r="B134" s="5"/>
      <c r="C134" s="7"/>
      <c r="D134" s="5"/>
      <c r="E134" s="5" t="str">
        <f>IF(ISBLANK(C134),"",RANK(C134,C$2:C$367,0)+COUNTIF(C$2:C134,C134)-1)</f>
        <v/>
      </c>
    </row>
    <row r="135" spans="1:5" x14ac:dyDescent="0.3">
      <c r="A135" s="5"/>
      <c r="B135" s="5"/>
      <c r="C135" s="7"/>
      <c r="D135" s="5"/>
      <c r="E135" s="5" t="str">
        <f>IF(ISBLANK(C135),"",RANK(C135,C$2:C$367,0)+COUNTIF(C$2:C135,C135)-1)</f>
        <v/>
      </c>
    </row>
    <row r="136" spans="1:5" x14ac:dyDescent="0.3">
      <c r="A136" s="5"/>
      <c r="B136" s="5"/>
      <c r="C136" s="7"/>
      <c r="D136" s="5"/>
      <c r="E136" s="5" t="str">
        <f>IF(ISBLANK(C136),"",RANK(C136,C$2:C$367,0)+COUNTIF(C$2:C136,C136)-1)</f>
        <v/>
      </c>
    </row>
    <row r="137" spans="1:5" x14ac:dyDescent="0.3">
      <c r="A137" s="5"/>
      <c r="B137" s="5"/>
      <c r="C137" s="7"/>
      <c r="D137" s="5"/>
      <c r="E137" s="5" t="str">
        <f>IF(ISBLANK(C137),"",RANK(C137,C$2:C$367,0)+COUNTIF(C$2:C137,C137)-1)</f>
        <v/>
      </c>
    </row>
    <row r="138" spans="1:5" x14ac:dyDescent="0.3">
      <c r="A138" s="5"/>
      <c r="B138" s="5"/>
      <c r="C138" s="7"/>
      <c r="D138" s="5"/>
      <c r="E138" s="5" t="str">
        <f>IF(ISBLANK(C138),"",RANK(C138,C$2:C$367,0)+COUNTIF(C$2:C138,C138)-1)</f>
        <v/>
      </c>
    </row>
    <row r="139" spans="1:5" x14ac:dyDescent="0.3">
      <c r="A139" s="5"/>
      <c r="B139" s="5"/>
      <c r="C139" s="7"/>
      <c r="D139" s="5"/>
      <c r="E139" s="5" t="str">
        <f>IF(ISBLANK(C139),"",RANK(C139,C$2:C$367,0)+COUNTIF(C$2:C139,C139)-1)</f>
        <v/>
      </c>
    </row>
    <row r="140" spans="1:5" x14ac:dyDescent="0.3">
      <c r="A140" s="5"/>
      <c r="B140" s="5"/>
      <c r="C140" s="7"/>
      <c r="D140" s="5"/>
      <c r="E140" s="5" t="str">
        <f>IF(ISBLANK(C140),"",RANK(C140,C$2:C$367,0)+COUNTIF(C$2:C140,C140)-1)</f>
        <v/>
      </c>
    </row>
    <row r="141" spans="1:5" x14ac:dyDescent="0.3">
      <c r="A141" s="5"/>
      <c r="B141" s="5"/>
      <c r="C141" s="7"/>
      <c r="D141" s="5"/>
      <c r="E141" s="5" t="str">
        <f>IF(ISBLANK(C141),"",RANK(C141,C$2:C$367,0)+COUNTIF(C$2:C141,C141)-1)</f>
        <v/>
      </c>
    </row>
    <row r="142" spans="1:5" x14ac:dyDescent="0.3">
      <c r="A142" s="5"/>
      <c r="B142" s="5"/>
      <c r="C142" s="7"/>
      <c r="D142" s="5"/>
      <c r="E142" s="5" t="str">
        <f>IF(ISBLANK(C142),"",RANK(C142,C$2:C$367,0)+COUNTIF(C$2:C142,C142)-1)</f>
        <v/>
      </c>
    </row>
    <row r="143" spans="1:5" x14ac:dyDescent="0.3">
      <c r="A143" s="5"/>
      <c r="B143" s="5"/>
      <c r="C143" s="7"/>
      <c r="D143" s="5"/>
      <c r="E143" s="5" t="str">
        <f>IF(ISBLANK(C143),"",RANK(C143,C$2:C$367,0)+COUNTIF(C$2:C143,C143)-1)</f>
        <v/>
      </c>
    </row>
    <row r="144" spans="1:5" x14ac:dyDescent="0.3">
      <c r="A144" s="5"/>
      <c r="B144" s="5"/>
      <c r="C144" s="7"/>
      <c r="D144" s="5"/>
      <c r="E144" s="5" t="str">
        <f>IF(ISBLANK(C144),"",RANK(C144,C$2:C$367,0)+COUNTIF(C$2:C144,C144)-1)</f>
        <v/>
      </c>
    </row>
    <row r="145" spans="1:5" x14ac:dyDescent="0.3">
      <c r="A145" s="5"/>
      <c r="B145" s="5"/>
      <c r="C145" s="7"/>
      <c r="D145" s="5"/>
      <c r="E145" s="5" t="str">
        <f>IF(ISBLANK(C145),"",RANK(C145,C$2:C$367,0)+COUNTIF(C$2:C145,C145)-1)</f>
        <v/>
      </c>
    </row>
    <row r="146" spans="1:5" x14ac:dyDescent="0.3">
      <c r="A146" s="5"/>
      <c r="B146" s="5"/>
      <c r="C146" s="7"/>
      <c r="D146" s="5"/>
      <c r="E146" s="5" t="str">
        <f>IF(ISBLANK(C146),"",RANK(C146,C$2:C$367,0)+COUNTIF(C$2:C146,C146)-1)</f>
        <v/>
      </c>
    </row>
    <row r="147" spans="1:5" x14ac:dyDescent="0.3">
      <c r="A147" s="5"/>
      <c r="B147" s="5"/>
      <c r="C147" s="7"/>
      <c r="D147" s="5"/>
      <c r="E147" s="5" t="str">
        <f>IF(ISBLANK(C147),"",RANK(C147,C$2:C$367,0)+COUNTIF(C$2:C147,C147)-1)</f>
        <v/>
      </c>
    </row>
    <row r="148" spans="1:5" x14ac:dyDescent="0.3">
      <c r="A148" s="5"/>
      <c r="B148" s="5"/>
      <c r="C148" s="7"/>
      <c r="D148" s="5"/>
      <c r="E148" s="5" t="str">
        <f>IF(ISBLANK(C148),"",RANK(C148,C$2:C$367,0)+COUNTIF(C$2:C148,C148)-1)</f>
        <v/>
      </c>
    </row>
    <row r="149" spans="1:5" x14ac:dyDescent="0.3">
      <c r="A149" s="5"/>
      <c r="B149" s="5"/>
      <c r="C149" s="7"/>
      <c r="D149" s="5"/>
      <c r="E149" s="5" t="str">
        <f>IF(ISBLANK(C149),"",RANK(C149,C$2:C$367,0)+COUNTIF(C$2:C149,C149)-1)</f>
        <v/>
      </c>
    </row>
    <row r="150" spans="1:5" x14ac:dyDescent="0.3">
      <c r="A150" s="5"/>
      <c r="B150" s="5"/>
      <c r="C150" s="7"/>
      <c r="D150" s="5"/>
      <c r="E150" s="5" t="str">
        <f>IF(ISBLANK(C150),"",RANK(C150,C$2:C$367,0)+COUNTIF(C$2:C150,C150)-1)</f>
        <v/>
      </c>
    </row>
    <row r="151" spans="1:5" x14ac:dyDescent="0.3">
      <c r="A151" s="5"/>
      <c r="B151" s="5"/>
      <c r="C151" s="7"/>
      <c r="D151" s="5"/>
      <c r="E151" s="5" t="str">
        <f>IF(ISBLANK(C151),"",RANK(C151,C$2:C$367,0)+COUNTIF(C$2:C151,C151)-1)</f>
        <v/>
      </c>
    </row>
    <row r="152" spans="1:5" x14ac:dyDescent="0.3">
      <c r="A152" s="5"/>
      <c r="B152" s="5"/>
      <c r="C152" s="7"/>
      <c r="D152" s="5"/>
      <c r="E152" s="5" t="str">
        <f>IF(ISBLANK(C152),"",RANK(C152,C$2:C$367,0)+COUNTIF(C$2:C152,C152)-1)</f>
        <v/>
      </c>
    </row>
    <row r="153" spans="1:5" x14ac:dyDescent="0.3">
      <c r="A153" s="5"/>
      <c r="B153" s="5"/>
      <c r="C153" s="7"/>
      <c r="D153" s="5"/>
      <c r="E153" s="5" t="str">
        <f>IF(ISBLANK(C153),"",RANK(C153,C$2:C$367,0)+COUNTIF(C$2:C153,C153)-1)</f>
        <v/>
      </c>
    </row>
    <row r="154" spans="1:5" x14ac:dyDescent="0.3">
      <c r="A154" s="5"/>
      <c r="B154" s="5"/>
      <c r="C154" s="7"/>
      <c r="D154" s="5"/>
      <c r="E154" s="5" t="str">
        <f>IF(ISBLANK(C154),"",RANK(C154,C$2:C$367,0)+COUNTIF(C$2:C154,C154)-1)</f>
        <v/>
      </c>
    </row>
    <row r="155" spans="1:5" x14ac:dyDescent="0.3">
      <c r="A155" s="5"/>
      <c r="B155" s="5"/>
      <c r="C155" s="7"/>
      <c r="D155" s="5"/>
      <c r="E155" s="5" t="str">
        <f>IF(ISBLANK(C155),"",RANK(C155,C$2:C$367,0)+COUNTIF(C$2:C155,C155)-1)</f>
        <v/>
      </c>
    </row>
    <row r="156" spans="1:5" x14ac:dyDescent="0.3">
      <c r="A156" s="5"/>
      <c r="B156" s="5"/>
      <c r="C156" s="7"/>
      <c r="D156" s="5"/>
      <c r="E156" s="5" t="str">
        <f>IF(ISBLANK(C156),"",RANK(C156,C$2:C$367,0)+COUNTIF(C$2:C156,C156)-1)</f>
        <v/>
      </c>
    </row>
    <row r="157" spans="1:5" x14ac:dyDescent="0.3">
      <c r="A157" s="5"/>
      <c r="B157" s="5"/>
      <c r="C157" s="7"/>
      <c r="D157" s="5"/>
      <c r="E157" s="5" t="str">
        <f>IF(ISBLANK(C157),"",RANK(C157,C$2:C$367,0)+COUNTIF(C$2:C157,C157)-1)</f>
        <v/>
      </c>
    </row>
    <row r="158" spans="1:5" x14ac:dyDescent="0.3">
      <c r="A158" s="5"/>
      <c r="B158" s="5"/>
      <c r="C158" s="7"/>
      <c r="D158" s="5"/>
      <c r="E158" s="5" t="str">
        <f>IF(ISBLANK(C158),"",RANK(C158,C$2:C$367,0)+COUNTIF(C$2:C158,C158)-1)</f>
        <v/>
      </c>
    </row>
    <row r="159" spans="1:5" x14ac:dyDescent="0.3">
      <c r="A159" s="5"/>
      <c r="B159" s="5"/>
      <c r="C159" s="7"/>
      <c r="D159" s="5"/>
      <c r="E159" s="5" t="str">
        <f>IF(ISBLANK(C159),"",RANK(C159,C$2:C$367,0)+COUNTIF(C$2:C159,C159)-1)</f>
        <v/>
      </c>
    </row>
    <row r="160" spans="1:5" x14ac:dyDescent="0.3">
      <c r="A160" s="5"/>
      <c r="B160" s="5"/>
      <c r="C160" s="7"/>
      <c r="D160" s="5"/>
      <c r="E160" s="5" t="str">
        <f>IF(ISBLANK(C160),"",RANK(C160,C$2:C$367,0)+COUNTIF(C$2:C160,C160)-1)</f>
        <v/>
      </c>
    </row>
    <row r="161" spans="1:5" x14ac:dyDescent="0.3">
      <c r="A161" s="5"/>
      <c r="B161" s="5"/>
      <c r="C161" s="7"/>
      <c r="D161" s="5"/>
      <c r="E161" s="5" t="str">
        <f>IF(ISBLANK(C161),"",RANK(C161,C$2:C$367,0)+COUNTIF(C$2:C161,C161)-1)</f>
        <v/>
      </c>
    </row>
    <row r="162" spans="1:5" x14ac:dyDescent="0.3">
      <c r="A162" s="5"/>
      <c r="B162" s="5"/>
      <c r="C162" s="7"/>
      <c r="D162" s="5"/>
      <c r="E162" s="5" t="str">
        <f>IF(ISBLANK(C162),"",RANK(C162,C$2:C$367,0)+COUNTIF(C$2:C162,C162)-1)</f>
        <v/>
      </c>
    </row>
    <row r="163" spans="1:5" x14ac:dyDescent="0.3">
      <c r="A163" s="5"/>
      <c r="B163" s="5"/>
      <c r="C163" s="7"/>
      <c r="D163" s="5"/>
      <c r="E163" s="5" t="str">
        <f>IF(ISBLANK(C163),"",RANK(C163,C$2:C$367,0)+COUNTIF(C$2:C163,C163)-1)</f>
        <v/>
      </c>
    </row>
    <row r="164" spans="1:5" x14ac:dyDescent="0.3">
      <c r="A164" s="5"/>
      <c r="B164" s="5"/>
      <c r="C164" s="7"/>
      <c r="D164" s="5"/>
      <c r="E164" s="5" t="str">
        <f>IF(ISBLANK(C164),"",RANK(C164,C$2:C$367,0)+COUNTIF(C$2:C164,C164)-1)</f>
        <v/>
      </c>
    </row>
    <row r="165" spans="1:5" x14ac:dyDescent="0.3">
      <c r="A165" s="5"/>
      <c r="B165" s="5"/>
      <c r="C165" s="7"/>
      <c r="D165" s="5"/>
      <c r="E165" s="5" t="str">
        <f>IF(ISBLANK(C165),"",RANK(C165,C$2:C$367,0)+COUNTIF(C$2:C165,C165)-1)</f>
        <v/>
      </c>
    </row>
    <row r="166" spans="1:5" x14ac:dyDescent="0.3">
      <c r="A166" s="5"/>
      <c r="B166" s="5"/>
      <c r="C166" s="7"/>
      <c r="D166" s="5"/>
      <c r="E166" s="5" t="str">
        <f>IF(ISBLANK(C166),"",RANK(C166,C$2:C$367,0)+COUNTIF(C$2:C166,C166)-1)</f>
        <v/>
      </c>
    </row>
    <row r="167" spans="1:5" x14ac:dyDescent="0.3">
      <c r="A167" s="5"/>
      <c r="B167" s="5"/>
      <c r="C167" s="7"/>
      <c r="D167" s="5"/>
      <c r="E167" s="5" t="str">
        <f>IF(ISBLANK(C167),"",RANK(C167,C$2:C$367,0)+COUNTIF(C$2:C167,C167)-1)</f>
        <v/>
      </c>
    </row>
    <row r="168" spans="1:5" x14ac:dyDescent="0.3">
      <c r="A168" s="5"/>
      <c r="B168" s="5"/>
      <c r="C168" s="7"/>
      <c r="D168" s="5"/>
      <c r="E168" s="5" t="str">
        <f>IF(ISBLANK(C168),"",RANK(C168,C$2:C$367,0)+COUNTIF(C$2:C168,C168)-1)</f>
        <v/>
      </c>
    </row>
    <row r="169" spans="1:5" x14ac:dyDescent="0.3">
      <c r="A169" s="5"/>
      <c r="B169" s="5"/>
      <c r="C169" s="7"/>
      <c r="D169" s="5"/>
      <c r="E169" s="5" t="str">
        <f>IF(ISBLANK(C169),"",RANK(C169,C$2:C$367,0)+COUNTIF(C$2:C169,C169)-1)</f>
        <v/>
      </c>
    </row>
    <row r="170" spans="1:5" x14ac:dyDescent="0.3">
      <c r="A170" s="5"/>
      <c r="B170" s="5"/>
      <c r="C170" s="7"/>
      <c r="D170" s="5"/>
      <c r="E170" s="5" t="str">
        <f>IF(ISBLANK(C170),"",RANK(C170,C$2:C$367,0)+COUNTIF(C$2:C170,C170)-1)</f>
        <v/>
      </c>
    </row>
    <row r="171" spans="1:5" x14ac:dyDescent="0.3">
      <c r="A171" s="5"/>
      <c r="B171" s="5"/>
      <c r="C171" s="7"/>
      <c r="D171" s="5"/>
      <c r="E171" s="5" t="str">
        <f>IF(ISBLANK(C171),"",RANK(C171,C$2:C$367,0)+COUNTIF(C$2:C171,C171)-1)</f>
        <v/>
      </c>
    </row>
    <row r="172" spans="1:5" x14ac:dyDescent="0.3">
      <c r="A172" s="5"/>
      <c r="B172" s="5"/>
      <c r="C172" s="7"/>
      <c r="D172" s="5"/>
      <c r="E172" s="5" t="str">
        <f>IF(ISBLANK(C172),"",RANK(C172,C$2:C$367,0)+COUNTIF(C$2:C172,C172)-1)</f>
        <v/>
      </c>
    </row>
    <row r="173" spans="1:5" x14ac:dyDescent="0.3">
      <c r="A173" s="5"/>
      <c r="B173" s="5"/>
      <c r="C173" s="7"/>
      <c r="D173" s="5"/>
      <c r="E173" s="5" t="str">
        <f>IF(ISBLANK(C173),"",RANK(C173,C$2:C$367,0)+COUNTIF(C$2:C173,C173)-1)</f>
        <v/>
      </c>
    </row>
    <row r="174" spans="1:5" x14ac:dyDescent="0.3">
      <c r="A174" s="5"/>
      <c r="B174" s="5"/>
      <c r="C174" s="7"/>
      <c r="D174" s="5"/>
      <c r="E174" s="5" t="str">
        <f>IF(ISBLANK(C174),"",RANK(C174,C$2:C$367,0)+COUNTIF(C$2:C174,C174)-1)</f>
        <v/>
      </c>
    </row>
    <row r="175" spans="1:5" x14ac:dyDescent="0.3">
      <c r="A175" s="5"/>
      <c r="B175" s="5"/>
      <c r="C175" s="7"/>
      <c r="D175" s="5"/>
      <c r="E175" s="5" t="str">
        <f>IF(ISBLANK(C175),"",RANK(C175,C$2:C$367,0)+COUNTIF(C$2:C175,C175)-1)</f>
        <v/>
      </c>
    </row>
    <row r="176" spans="1:5" x14ac:dyDescent="0.3">
      <c r="A176" s="5"/>
      <c r="B176" s="5"/>
      <c r="C176" s="7"/>
      <c r="D176" s="5"/>
      <c r="E176" s="5" t="str">
        <f>IF(ISBLANK(C176),"",RANK(C176,C$2:C$367,0)+COUNTIF(C$2:C176,C176)-1)</f>
        <v/>
      </c>
    </row>
    <row r="177" spans="1:5" x14ac:dyDescent="0.3">
      <c r="A177" s="5"/>
      <c r="B177" s="5"/>
      <c r="C177" s="7"/>
      <c r="D177" s="5"/>
      <c r="E177" s="5" t="str">
        <f>IF(ISBLANK(C177),"",RANK(C177,C$2:C$367,0)+COUNTIF(C$2:C177,C177)-1)</f>
        <v/>
      </c>
    </row>
    <row r="178" spans="1:5" x14ac:dyDescent="0.3">
      <c r="A178" s="5"/>
      <c r="B178" s="5"/>
      <c r="C178" s="7"/>
      <c r="D178" s="5"/>
      <c r="E178" s="5" t="str">
        <f>IF(ISBLANK(C178),"",RANK(C178,C$2:C$367,0)+COUNTIF(C$2:C178,C178)-1)</f>
        <v/>
      </c>
    </row>
    <row r="179" spans="1:5" x14ac:dyDescent="0.3">
      <c r="A179" s="5"/>
      <c r="B179" s="5"/>
      <c r="C179" s="7"/>
      <c r="D179" s="5"/>
      <c r="E179" s="5" t="str">
        <f>IF(ISBLANK(C179),"",RANK(C179,C$2:C$367,0)+COUNTIF(C$2:C179,C179)-1)</f>
        <v/>
      </c>
    </row>
    <row r="180" spans="1:5" x14ac:dyDescent="0.3">
      <c r="A180" s="5"/>
      <c r="B180" s="5"/>
      <c r="C180" s="7"/>
      <c r="D180" s="5"/>
      <c r="E180" s="5" t="str">
        <f>IF(ISBLANK(C180),"",RANK(C180,C$2:C$367,0)+COUNTIF(C$2:C180,C180)-1)</f>
        <v/>
      </c>
    </row>
    <row r="181" spans="1:5" x14ac:dyDescent="0.3">
      <c r="A181" s="5"/>
      <c r="B181" s="5"/>
      <c r="C181" s="7"/>
      <c r="D181" s="5"/>
      <c r="E181" s="5" t="str">
        <f>IF(ISBLANK(C181),"",RANK(C181,C$2:C$367,0)+COUNTIF(C$2:C181,C181)-1)</f>
        <v/>
      </c>
    </row>
    <row r="182" spans="1:5" x14ac:dyDescent="0.3">
      <c r="A182" s="5"/>
      <c r="B182" s="5"/>
      <c r="C182" s="7"/>
      <c r="D182" s="5"/>
      <c r="E182" s="5" t="str">
        <f>IF(ISBLANK(C182),"",RANK(C182,C$2:C$367,0)+COUNTIF(C$2:C182,C182)-1)</f>
        <v/>
      </c>
    </row>
    <row r="183" spans="1:5" x14ac:dyDescent="0.3">
      <c r="A183" s="5"/>
      <c r="B183" s="5"/>
      <c r="C183" s="7"/>
      <c r="D183" s="5"/>
      <c r="E183" s="5" t="str">
        <f>IF(ISBLANK(C183),"",RANK(C183,C$2:C$367,0)+COUNTIF(C$2:C183,C183)-1)</f>
        <v/>
      </c>
    </row>
    <row r="184" spans="1:5" x14ac:dyDescent="0.3">
      <c r="A184" s="5"/>
      <c r="B184" s="5"/>
      <c r="C184" s="7"/>
      <c r="D184" s="5"/>
      <c r="E184" s="5" t="str">
        <f>IF(ISBLANK(C184),"",RANK(C184,C$2:C$367,0)+COUNTIF(C$2:C184,C184)-1)</f>
        <v/>
      </c>
    </row>
    <row r="185" spans="1:5" x14ac:dyDescent="0.3">
      <c r="A185" s="5"/>
      <c r="B185" s="5"/>
      <c r="C185" s="7"/>
      <c r="D185" s="5"/>
      <c r="E185" s="5" t="str">
        <f>IF(ISBLANK(C185),"",RANK(C185,C$2:C$367,0)+COUNTIF(C$2:C185,C185)-1)</f>
        <v/>
      </c>
    </row>
    <row r="186" spans="1:5" x14ac:dyDescent="0.3">
      <c r="A186" s="5"/>
      <c r="B186" s="5"/>
      <c r="C186" s="7"/>
      <c r="D186" s="5"/>
      <c r="E186" s="5" t="str">
        <f>IF(ISBLANK(C186),"",RANK(C186,C$2:C$367,0)+COUNTIF(C$2:C186,C186)-1)</f>
        <v/>
      </c>
    </row>
    <row r="187" spans="1:5" x14ac:dyDescent="0.3">
      <c r="A187" s="5"/>
      <c r="B187" s="5"/>
      <c r="C187" s="7"/>
      <c r="D187" s="5"/>
      <c r="E187" s="5" t="str">
        <f>IF(ISBLANK(C187),"",RANK(C187,C$2:C$367,0)+COUNTIF(C$2:C187,C187)-1)</f>
        <v/>
      </c>
    </row>
    <row r="188" spans="1:5" x14ac:dyDescent="0.3">
      <c r="A188" s="5"/>
      <c r="B188" s="5"/>
      <c r="C188" s="7"/>
      <c r="D188" s="5"/>
      <c r="E188" s="5" t="str">
        <f>IF(ISBLANK(C188),"",RANK(C188,C$2:C$367,0)+COUNTIF(C$2:C188,C188)-1)</f>
        <v/>
      </c>
    </row>
    <row r="189" spans="1:5" x14ac:dyDescent="0.3">
      <c r="A189" s="5"/>
      <c r="B189" s="5"/>
      <c r="C189" s="7"/>
      <c r="D189" s="5"/>
      <c r="E189" s="5" t="str">
        <f>IF(ISBLANK(C189),"",RANK(C189,C$2:C$367,0)+COUNTIF(C$2:C189,C189)-1)</f>
        <v/>
      </c>
    </row>
    <row r="190" spans="1:5" x14ac:dyDescent="0.3">
      <c r="A190" s="5"/>
      <c r="B190" s="5"/>
      <c r="C190" s="7"/>
      <c r="D190" s="5"/>
      <c r="E190" s="5" t="str">
        <f>IF(ISBLANK(C190),"",RANK(C190,C$2:C$367,0)+COUNTIF(C$2:C190,C190)-1)</f>
        <v/>
      </c>
    </row>
    <row r="191" spans="1:5" x14ac:dyDescent="0.3">
      <c r="A191" s="5"/>
      <c r="B191" s="5"/>
      <c r="C191" s="7"/>
      <c r="D191" s="5"/>
      <c r="E191" s="5" t="str">
        <f>IF(ISBLANK(C191),"",RANK(C191,C$2:C$367,0)+COUNTIF(C$2:C191,C191)-1)</f>
        <v/>
      </c>
    </row>
    <row r="192" spans="1:5" x14ac:dyDescent="0.3">
      <c r="A192" s="5"/>
      <c r="B192" s="5"/>
      <c r="C192" s="7"/>
      <c r="D192" s="5"/>
      <c r="E192" s="5" t="str">
        <f>IF(ISBLANK(C192),"",RANK(C192,C$2:C$367,0)+COUNTIF(C$2:C192,C192)-1)</f>
        <v/>
      </c>
    </row>
    <row r="193" spans="1:5" x14ac:dyDescent="0.3">
      <c r="A193" s="5"/>
      <c r="B193" s="5"/>
      <c r="C193" s="7"/>
      <c r="D193" s="5"/>
      <c r="E193" s="5" t="str">
        <f>IF(ISBLANK(C193),"",RANK(C193,C$2:C$367,0)+COUNTIF(C$2:C193,C193)-1)</f>
        <v/>
      </c>
    </row>
    <row r="194" spans="1:5" x14ac:dyDescent="0.3">
      <c r="A194" s="5"/>
      <c r="B194" s="5"/>
      <c r="C194" s="7"/>
      <c r="D194" s="5"/>
      <c r="E194" s="5" t="str">
        <f>IF(ISBLANK(C194),"",RANK(C194,C$2:C$367,0)+COUNTIF(C$2:C194,C194)-1)</f>
        <v/>
      </c>
    </row>
    <row r="195" spans="1:5" x14ac:dyDescent="0.3">
      <c r="A195" s="5"/>
      <c r="B195" s="5"/>
      <c r="C195" s="7"/>
      <c r="D195" s="5"/>
      <c r="E195" s="5" t="str">
        <f>IF(ISBLANK(C195),"",RANK(C195,C$2:C$367,0)+COUNTIF(C$2:C195,C195)-1)</f>
        <v/>
      </c>
    </row>
    <row r="196" spans="1:5" x14ac:dyDescent="0.3">
      <c r="A196" s="5"/>
      <c r="B196" s="5"/>
      <c r="C196" s="7"/>
      <c r="D196" s="5"/>
      <c r="E196" s="5" t="str">
        <f>IF(ISBLANK(C196),"",RANK(C196,C$2:C$367,0)+COUNTIF(C$2:C196,C196)-1)</f>
        <v/>
      </c>
    </row>
    <row r="197" spans="1:5" x14ac:dyDescent="0.3">
      <c r="A197" s="5"/>
      <c r="B197" s="5"/>
      <c r="C197" s="7"/>
      <c r="D197" s="5"/>
      <c r="E197" s="5" t="str">
        <f>IF(ISBLANK(C197),"",RANK(C197,C$2:C$367,0)+COUNTIF(C$2:C197,C197)-1)</f>
        <v/>
      </c>
    </row>
    <row r="198" spans="1:5" x14ac:dyDescent="0.3">
      <c r="A198" s="5"/>
      <c r="B198" s="5"/>
      <c r="C198" s="7"/>
      <c r="D198" s="5"/>
      <c r="E198" s="5" t="str">
        <f>IF(ISBLANK(C198),"",RANK(C198,C$2:C$367,0)+COUNTIF(C$2:C198,C198)-1)</f>
        <v/>
      </c>
    </row>
    <row r="199" spans="1:5" x14ac:dyDescent="0.3">
      <c r="A199" s="5"/>
      <c r="B199" s="5"/>
      <c r="C199" s="7"/>
      <c r="D199" s="5"/>
      <c r="E199" s="5" t="str">
        <f>IF(ISBLANK(C199),"",RANK(C199,C$2:C$367,0)+COUNTIF(C$2:C199,C199)-1)</f>
        <v/>
      </c>
    </row>
    <row r="200" spans="1:5" x14ac:dyDescent="0.3">
      <c r="A200" s="5"/>
      <c r="B200" s="5"/>
      <c r="C200" s="7"/>
      <c r="D200" s="5"/>
      <c r="E200" s="5" t="str">
        <f>IF(ISBLANK(C200),"",RANK(C200,C$2:C$367,0)+COUNTIF(C$2:C200,C200)-1)</f>
        <v/>
      </c>
    </row>
    <row r="201" spans="1:5" x14ac:dyDescent="0.3">
      <c r="A201" s="5"/>
      <c r="B201" s="5"/>
      <c r="C201" s="7"/>
      <c r="D201" s="5"/>
      <c r="E201" s="5" t="str">
        <f>IF(ISBLANK(C201),"",RANK(C201,C$2:C$367,0)+COUNTIF(C$2:C201,C201)-1)</f>
        <v/>
      </c>
    </row>
    <row r="202" spans="1:5" x14ac:dyDescent="0.3">
      <c r="A202" s="5"/>
      <c r="B202" s="5"/>
      <c r="C202" s="7"/>
      <c r="D202" s="5"/>
      <c r="E202" s="5" t="str">
        <f>IF(ISBLANK(C202),"",RANK(C202,C$2:C$367,0)+COUNTIF(C$2:C202,C202)-1)</f>
        <v/>
      </c>
    </row>
    <row r="203" spans="1:5" x14ac:dyDescent="0.3">
      <c r="A203" s="5"/>
      <c r="B203" s="5"/>
      <c r="C203" s="7"/>
      <c r="D203" s="5"/>
      <c r="E203" s="5" t="str">
        <f>IF(ISBLANK(C203),"",RANK(C203,C$2:C$367,0)+COUNTIF(C$2:C203,C203)-1)</f>
        <v/>
      </c>
    </row>
    <row r="204" spans="1:5" x14ac:dyDescent="0.3">
      <c r="A204" s="5"/>
      <c r="B204" s="5"/>
      <c r="C204" s="7"/>
      <c r="D204" s="5"/>
      <c r="E204" s="5" t="str">
        <f>IF(ISBLANK(C204),"",RANK(C204,C$2:C$367,0)+COUNTIF(C$2:C204,C204)-1)</f>
        <v/>
      </c>
    </row>
    <row r="205" spans="1:5" x14ac:dyDescent="0.3">
      <c r="A205" s="5"/>
      <c r="B205" s="5"/>
      <c r="C205" s="7"/>
      <c r="D205" s="5"/>
      <c r="E205" s="5" t="str">
        <f>IF(ISBLANK(C205),"",RANK(C205,C$2:C$367,0)+COUNTIF(C$2:C205,C205)-1)</f>
        <v/>
      </c>
    </row>
    <row r="206" spans="1:5" x14ac:dyDescent="0.3">
      <c r="A206" s="5"/>
      <c r="B206" s="5"/>
      <c r="C206" s="7"/>
      <c r="D206" s="5"/>
      <c r="E206" s="5" t="str">
        <f>IF(ISBLANK(C206),"",RANK(C206,C$2:C$367,0)+COUNTIF(C$2:C206,C206)-1)</f>
        <v/>
      </c>
    </row>
    <row r="207" spans="1:5" x14ac:dyDescent="0.3">
      <c r="A207" s="5"/>
      <c r="B207" s="5"/>
      <c r="C207" s="7"/>
      <c r="D207" s="5"/>
      <c r="E207" s="5" t="str">
        <f>IF(ISBLANK(C207),"",RANK(C207,C$2:C$367,0)+COUNTIF(C$2:C207,C207)-1)</f>
        <v/>
      </c>
    </row>
    <row r="208" spans="1:5" x14ac:dyDescent="0.3">
      <c r="A208" s="5"/>
      <c r="B208" s="5"/>
      <c r="C208" s="7"/>
      <c r="D208" s="5"/>
      <c r="E208" s="5" t="str">
        <f>IF(ISBLANK(C208),"",RANK(C208,C$2:C$367,0)+COUNTIF(C$2:C208,C208)-1)</f>
        <v/>
      </c>
    </row>
    <row r="209" spans="1:5" x14ac:dyDescent="0.3">
      <c r="A209" s="5"/>
      <c r="B209" s="5"/>
      <c r="C209" s="7"/>
      <c r="D209" s="5"/>
      <c r="E209" s="5" t="str">
        <f>IF(ISBLANK(C209),"",RANK(C209,C$2:C$367,0)+COUNTIF(C$2:C209,C209)-1)</f>
        <v/>
      </c>
    </row>
    <row r="210" spans="1:5" x14ac:dyDescent="0.3">
      <c r="A210" s="5"/>
      <c r="B210" s="5"/>
      <c r="C210" s="7"/>
      <c r="D210" s="5"/>
      <c r="E210" s="5" t="str">
        <f>IF(ISBLANK(C210),"",RANK(C210,C$2:C$367,0)+COUNTIF(C$2:C210,C210)-1)</f>
        <v/>
      </c>
    </row>
    <row r="211" spans="1:5" x14ac:dyDescent="0.3">
      <c r="A211" s="5"/>
      <c r="B211" s="5"/>
      <c r="C211" s="7"/>
      <c r="D211" s="5"/>
      <c r="E211" s="5" t="str">
        <f>IF(ISBLANK(C211),"",RANK(C211,C$2:C$367,0)+COUNTIF(C$2:C211,C211)-1)</f>
        <v/>
      </c>
    </row>
    <row r="212" spans="1:5" x14ac:dyDescent="0.3">
      <c r="A212" s="5"/>
      <c r="B212" s="5"/>
      <c r="C212" s="7"/>
      <c r="D212" s="5"/>
      <c r="E212" s="5" t="str">
        <f>IF(ISBLANK(C212),"",RANK(C212,C$2:C$367,0)+COUNTIF(C$2:C212,C212)-1)</f>
        <v/>
      </c>
    </row>
    <row r="213" spans="1:5" x14ac:dyDescent="0.3">
      <c r="A213" s="5"/>
      <c r="B213" s="5"/>
      <c r="C213" s="7"/>
      <c r="D213" s="5"/>
      <c r="E213" s="5" t="str">
        <f>IF(ISBLANK(C213),"",RANK(C213,C$2:C$367,0)+COUNTIF(C$2:C213,C213)-1)</f>
        <v/>
      </c>
    </row>
    <row r="214" spans="1:5" x14ac:dyDescent="0.3">
      <c r="A214" s="5"/>
      <c r="B214" s="5"/>
      <c r="C214" s="7"/>
      <c r="D214" s="5"/>
      <c r="E214" s="5" t="str">
        <f>IF(ISBLANK(C214),"",RANK(C214,C$2:C$367,0)+COUNTIF(C$2:C214,C214)-1)</f>
        <v/>
      </c>
    </row>
    <row r="215" spans="1:5" x14ac:dyDescent="0.3">
      <c r="A215" s="5"/>
      <c r="B215" s="5"/>
      <c r="C215" s="7"/>
      <c r="D215" s="5"/>
      <c r="E215" s="5" t="str">
        <f>IF(ISBLANK(C215),"",RANK(C215,C$2:C$367,0)+COUNTIF(C$2:C215,C215)-1)</f>
        <v/>
      </c>
    </row>
    <row r="216" spans="1:5" x14ac:dyDescent="0.3">
      <c r="A216" s="5"/>
      <c r="B216" s="5"/>
      <c r="C216" s="7"/>
      <c r="D216" s="5"/>
      <c r="E216" s="5" t="str">
        <f>IF(ISBLANK(C216),"",RANK(C216,C$2:C$367,0)+COUNTIF(C$2:C216,C216)-1)</f>
        <v/>
      </c>
    </row>
    <row r="217" spans="1:5" x14ac:dyDescent="0.3">
      <c r="A217" s="5"/>
      <c r="B217" s="5"/>
      <c r="C217" s="7"/>
      <c r="D217" s="5"/>
      <c r="E217" s="5" t="str">
        <f>IF(ISBLANK(C217),"",RANK(C217,C$2:C$367,0)+COUNTIF(C$2:C217,C217)-1)</f>
        <v/>
      </c>
    </row>
    <row r="218" spans="1:5" x14ac:dyDescent="0.3">
      <c r="A218" s="5"/>
      <c r="B218" s="5"/>
      <c r="C218" s="7"/>
      <c r="D218" s="5"/>
      <c r="E218" s="5" t="str">
        <f>IF(ISBLANK(C218),"",RANK(C218,C$2:C$367,0)+COUNTIF(C$2:C218,C218)-1)</f>
        <v/>
      </c>
    </row>
    <row r="219" spans="1:5" x14ac:dyDescent="0.3">
      <c r="A219" s="5"/>
      <c r="B219" s="5"/>
      <c r="C219" s="7"/>
      <c r="D219" s="5"/>
      <c r="E219" s="5" t="str">
        <f>IF(ISBLANK(C219),"",RANK(C219,C$2:C$367,0)+COUNTIF(C$2:C219,C219)-1)</f>
        <v/>
      </c>
    </row>
    <row r="220" spans="1:5" x14ac:dyDescent="0.3">
      <c r="A220" s="5"/>
      <c r="B220" s="5"/>
      <c r="C220" s="7"/>
      <c r="D220" s="5"/>
      <c r="E220" s="5" t="str">
        <f>IF(ISBLANK(C220),"",RANK(C220,C$2:C$367,0)+COUNTIF(C$2:C220,C220)-1)</f>
        <v/>
      </c>
    </row>
    <row r="221" spans="1:5" x14ac:dyDescent="0.3">
      <c r="A221" s="5"/>
      <c r="B221" s="5"/>
      <c r="C221" s="7"/>
      <c r="D221" s="5"/>
      <c r="E221" s="5" t="str">
        <f>IF(ISBLANK(C221),"",RANK(C221,C$2:C$367,0)+COUNTIF(C$2:C221,C221)-1)</f>
        <v/>
      </c>
    </row>
    <row r="222" spans="1:5" x14ac:dyDescent="0.3">
      <c r="A222" s="5"/>
      <c r="B222" s="5"/>
      <c r="C222" s="7"/>
      <c r="D222" s="5"/>
      <c r="E222" s="5" t="str">
        <f>IF(ISBLANK(C222),"",RANK(C222,C$2:C$367,0)+COUNTIF(C$2:C222,C222)-1)</f>
        <v/>
      </c>
    </row>
    <row r="223" spans="1:5" x14ac:dyDescent="0.3">
      <c r="A223" s="5"/>
      <c r="B223" s="5"/>
      <c r="C223" s="7"/>
      <c r="D223" s="5"/>
      <c r="E223" s="5" t="str">
        <f>IF(ISBLANK(C223),"",RANK(C223,C$2:C$367,0)+COUNTIF(C$2:C223,C223)-1)</f>
        <v/>
      </c>
    </row>
    <row r="224" spans="1:5" x14ac:dyDescent="0.3">
      <c r="A224" s="5"/>
      <c r="B224" s="5"/>
      <c r="C224" s="7"/>
      <c r="D224" s="5"/>
      <c r="E224" s="5" t="str">
        <f>IF(ISBLANK(C224),"",RANK(C224,C$2:C$367,0)+COUNTIF(C$2:C224,C224)-1)</f>
        <v/>
      </c>
    </row>
    <row r="225" spans="1:5" x14ac:dyDescent="0.3">
      <c r="A225" s="5"/>
      <c r="B225" s="5"/>
      <c r="C225" s="7"/>
      <c r="D225" s="5"/>
      <c r="E225" s="5" t="str">
        <f>IF(ISBLANK(C225),"",RANK(C225,C$2:C$367,0)+COUNTIF(C$2:C225,C225)-1)</f>
        <v/>
      </c>
    </row>
    <row r="226" spans="1:5" x14ac:dyDescent="0.3">
      <c r="A226" s="5"/>
      <c r="B226" s="5"/>
      <c r="C226" s="7"/>
      <c r="D226" s="5"/>
      <c r="E226" s="5" t="str">
        <f>IF(ISBLANK(C226),"",RANK(C226,C$2:C$367,0)+COUNTIF(C$2:C226,C226)-1)</f>
        <v/>
      </c>
    </row>
    <row r="227" spans="1:5" x14ac:dyDescent="0.3">
      <c r="A227" s="5"/>
      <c r="B227" s="5"/>
      <c r="C227" s="7"/>
      <c r="D227" s="5"/>
      <c r="E227" s="5" t="str">
        <f>IF(ISBLANK(C227),"",RANK(C227,C$2:C$367,0)+COUNTIF(C$2:C227,C227)-1)</f>
        <v/>
      </c>
    </row>
    <row r="228" spans="1:5" x14ac:dyDescent="0.3">
      <c r="A228" s="5"/>
      <c r="B228" s="5"/>
      <c r="C228" s="7"/>
      <c r="D228" s="5"/>
      <c r="E228" s="5" t="str">
        <f>IF(ISBLANK(C228),"",RANK(C228,C$2:C$367,0)+COUNTIF(C$2:C228,C228)-1)</f>
        <v/>
      </c>
    </row>
    <row r="229" spans="1:5" x14ac:dyDescent="0.3">
      <c r="A229" s="5"/>
      <c r="B229" s="5"/>
      <c r="C229" s="7"/>
      <c r="D229" s="5"/>
      <c r="E229" s="5" t="str">
        <f>IF(ISBLANK(C229),"",RANK(C229,C$2:C$367,0)+COUNTIF(C$2:C229,C229)-1)</f>
        <v/>
      </c>
    </row>
    <row r="230" spans="1:5" x14ac:dyDescent="0.3">
      <c r="A230" s="5"/>
      <c r="B230" s="5"/>
      <c r="C230" s="7"/>
      <c r="D230" s="5"/>
      <c r="E230" s="5" t="str">
        <f>IF(ISBLANK(C230),"",RANK(C230,C$2:C$367,0)+COUNTIF(C$2:C230,C230)-1)</f>
        <v/>
      </c>
    </row>
    <row r="231" spans="1:5" x14ac:dyDescent="0.3">
      <c r="A231" s="5"/>
      <c r="B231" s="5"/>
      <c r="C231" s="7"/>
      <c r="D231" s="5"/>
      <c r="E231" s="5" t="str">
        <f>IF(ISBLANK(C231),"",RANK(C231,C$2:C$367,0)+COUNTIF(C$2:C231,C231)-1)</f>
        <v/>
      </c>
    </row>
    <row r="232" spans="1:5" x14ac:dyDescent="0.3">
      <c r="A232" s="5"/>
      <c r="B232" s="5"/>
      <c r="C232" s="7"/>
      <c r="D232" s="5"/>
      <c r="E232" s="5" t="str">
        <f>IF(ISBLANK(C232),"",RANK(C232,C$2:C$367,0)+COUNTIF(C$2:C232,C232)-1)</f>
        <v/>
      </c>
    </row>
    <row r="233" spans="1:5" x14ac:dyDescent="0.3">
      <c r="A233" s="5"/>
      <c r="B233" s="5"/>
      <c r="C233" s="7"/>
      <c r="D233" s="5"/>
      <c r="E233" s="5" t="str">
        <f>IF(ISBLANK(C233),"",RANK(C233,C$2:C$367,0)+COUNTIF(C$2:C233,C233)-1)</f>
        <v/>
      </c>
    </row>
    <row r="234" spans="1:5" x14ac:dyDescent="0.3">
      <c r="A234" s="5"/>
      <c r="B234" s="5"/>
      <c r="C234" s="7"/>
      <c r="D234" s="5"/>
      <c r="E234" s="5" t="str">
        <f>IF(ISBLANK(C234),"",RANK(C234,C$2:C$367,0)+COUNTIF(C$2:C234,C234)-1)</f>
        <v/>
      </c>
    </row>
    <row r="235" spans="1:5" x14ac:dyDescent="0.3">
      <c r="A235" s="5"/>
      <c r="B235" s="5"/>
      <c r="C235" s="7"/>
      <c r="D235" s="5"/>
      <c r="E235" s="5" t="str">
        <f>IF(ISBLANK(C235),"",RANK(C235,C$2:C$367,0)+COUNTIF(C$2:C235,C235)-1)</f>
        <v/>
      </c>
    </row>
    <row r="236" spans="1:5" x14ac:dyDescent="0.3">
      <c r="A236" s="5"/>
      <c r="B236" s="5"/>
      <c r="C236" s="7"/>
      <c r="D236" s="5"/>
      <c r="E236" s="5" t="str">
        <f>IF(ISBLANK(C236),"",RANK(C236,C$2:C$367,0)+COUNTIF(C$2:C236,C236)-1)</f>
        <v/>
      </c>
    </row>
    <row r="237" spans="1:5" x14ac:dyDescent="0.3">
      <c r="A237" s="5"/>
      <c r="B237" s="5"/>
      <c r="C237" s="7"/>
      <c r="D237" s="5"/>
      <c r="E237" s="5" t="str">
        <f>IF(ISBLANK(C237),"",RANK(C237,C$2:C$367,0)+COUNTIF(C$2:C237,C237)-1)</f>
        <v/>
      </c>
    </row>
    <row r="238" spans="1:5" x14ac:dyDescent="0.3">
      <c r="A238" s="5"/>
      <c r="B238" s="5"/>
      <c r="C238" s="7"/>
      <c r="D238" s="5"/>
      <c r="E238" s="5" t="str">
        <f>IF(ISBLANK(C238),"",RANK(C238,C$2:C$367,0)+COUNTIF(C$2:C238,C238)-1)</f>
        <v/>
      </c>
    </row>
    <row r="239" spans="1:5" x14ac:dyDescent="0.3">
      <c r="A239" s="5"/>
      <c r="B239" s="5"/>
      <c r="C239" s="7"/>
      <c r="D239" s="5"/>
      <c r="E239" s="5" t="str">
        <f>IF(ISBLANK(C239),"",RANK(C239,C$2:C$367,0)+COUNTIF(C$2:C239,C239)-1)</f>
        <v/>
      </c>
    </row>
    <row r="240" spans="1:5" x14ac:dyDescent="0.3">
      <c r="A240" s="5"/>
      <c r="B240" s="5"/>
      <c r="C240" s="7"/>
      <c r="D240" s="5"/>
      <c r="E240" s="5" t="str">
        <f>IF(ISBLANK(C240),"",RANK(C240,C$2:C$367,0)+COUNTIF(C$2:C240,C240)-1)</f>
        <v/>
      </c>
    </row>
    <row r="241" spans="1:5" x14ac:dyDescent="0.3">
      <c r="A241" s="5"/>
      <c r="B241" s="5"/>
      <c r="C241" s="7"/>
      <c r="D241" s="5"/>
      <c r="E241" s="5" t="str">
        <f>IF(ISBLANK(C241),"",RANK(C241,C$2:C$367,0)+COUNTIF(C$2:C241,C241)-1)</f>
        <v/>
      </c>
    </row>
    <row r="242" spans="1:5" x14ac:dyDescent="0.3">
      <c r="A242" s="5"/>
      <c r="B242" s="5"/>
      <c r="C242" s="7"/>
      <c r="D242" s="5"/>
      <c r="E242" s="5" t="str">
        <f>IF(ISBLANK(C242),"",RANK(C242,C$2:C$367,0)+COUNTIF(C$2:C242,C242)-1)</f>
        <v/>
      </c>
    </row>
    <row r="243" spans="1:5" x14ac:dyDescent="0.3">
      <c r="A243" s="5"/>
      <c r="B243" s="5"/>
      <c r="C243" s="7"/>
      <c r="D243" s="5"/>
      <c r="E243" s="5" t="str">
        <f>IF(ISBLANK(C243),"",RANK(C243,C$2:C$367,0)+COUNTIF(C$2:C243,C243)-1)</f>
        <v/>
      </c>
    </row>
    <row r="244" spans="1:5" x14ac:dyDescent="0.3">
      <c r="A244" s="5"/>
      <c r="B244" s="5"/>
      <c r="C244" s="7"/>
      <c r="D244" s="5"/>
      <c r="E244" s="5" t="str">
        <f>IF(ISBLANK(C244),"",RANK(C244,C$2:C$367,0)+COUNTIF(C$2:C244,C244)-1)</f>
        <v/>
      </c>
    </row>
    <row r="245" spans="1:5" x14ac:dyDescent="0.3">
      <c r="A245" s="5"/>
      <c r="B245" s="5"/>
      <c r="C245" s="7"/>
      <c r="D245" s="5"/>
      <c r="E245" s="5" t="str">
        <f>IF(ISBLANK(C245),"",RANK(C245,C$2:C$367,0)+COUNTIF(C$2:C245,C245)-1)</f>
        <v/>
      </c>
    </row>
    <row r="246" spans="1:5" x14ac:dyDescent="0.3">
      <c r="A246" s="5"/>
      <c r="B246" s="5"/>
      <c r="C246" s="7"/>
      <c r="D246" s="5"/>
      <c r="E246" s="5" t="str">
        <f>IF(ISBLANK(C246),"",RANK(C246,C$2:C$367,0)+COUNTIF(C$2:C246,C246)-1)</f>
        <v/>
      </c>
    </row>
    <row r="247" spans="1:5" x14ac:dyDescent="0.3">
      <c r="A247" s="5"/>
      <c r="B247" s="5"/>
      <c r="C247" s="7"/>
      <c r="D247" s="5"/>
      <c r="E247" s="5" t="str">
        <f>IF(ISBLANK(C247),"",RANK(C247,C$2:C$367,0)+COUNTIF(C$2:C247,C247)-1)</f>
        <v/>
      </c>
    </row>
    <row r="248" spans="1:5" x14ac:dyDescent="0.3">
      <c r="A248" s="5"/>
      <c r="B248" s="5"/>
      <c r="C248" s="7"/>
      <c r="D248" s="5"/>
      <c r="E248" s="5" t="str">
        <f>IF(ISBLANK(C248),"",RANK(C248,C$2:C$367,0)+COUNTIF(C$2:C248,C248)-1)</f>
        <v/>
      </c>
    </row>
    <row r="249" spans="1:5" x14ac:dyDescent="0.3">
      <c r="A249" s="5"/>
      <c r="B249" s="5"/>
      <c r="C249" s="7"/>
      <c r="D249" s="5"/>
      <c r="E249" s="5" t="str">
        <f>IF(ISBLANK(C249),"",RANK(C249,C$2:C$367,0)+COUNTIF(C$2:C249,C249)-1)</f>
        <v/>
      </c>
    </row>
    <row r="250" spans="1:5" x14ac:dyDescent="0.3">
      <c r="A250" s="5"/>
      <c r="B250" s="5"/>
      <c r="C250" s="7"/>
      <c r="D250" s="5"/>
      <c r="E250" s="5" t="str">
        <f>IF(ISBLANK(C250),"",RANK(C250,C$2:C$367,0)+COUNTIF(C$2:C250,C250)-1)</f>
        <v/>
      </c>
    </row>
    <row r="251" spans="1:5" x14ac:dyDescent="0.3">
      <c r="A251" s="5"/>
      <c r="B251" s="5"/>
      <c r="C251" s="7"/>
      <c r="D251" s="5"/>
      <c r="E251" s="5" t="str">
        <f>IF(ISBLANK(C251),"",RANK(C251,C$2:C$367,0)+COUNTIF(C$2:C251,C251)-1)</f>
        <v/>
      </c>
    </row>
    <row r="252" spans="1:5" x14ac:dyDescent="0.3">
      <c r="A252" s="5"/>
      <c r="B252" s="5"/>
      <c r="C252" s="7"/>
      <c r="D252" s="5"/>
      <c r="E252" s="5" t="str">
        <f>IF(ISBLANK(C252),"",RANK(C252,C$2:C$367,0)+COUNTIF(C$2:C252,C252)-1)</f>
        <v/>
      </c>
    </row>
    <row r="253" spans="1:5" x14ac:dyDescent="0.3">
      <c r="A253" s="5"/>
      <c r="B253" s="5"/>
      <c r="C253" s="7"/>
      <c r="D253" s="5"/>
      <c r="E253" s="5" t="str">
        <f>IF(ISBLANK(C253),"",RANK(C253,C$2:C$367,0)+COUNTIF(C$2:C253,C253)-1)</f>
        <v/>
      </c>
    </row>
    <row r="254" spans="1:5" x14ac:dyDescent="0.3">
      <c r="A254" s="5"/>
      <c r="B254" s="5"/>
      <c r="C254" s="7"/>
      <c r="D254" s="5"/>
      <c r="E254" s="5" t="str">
        <f>IF(ISBLANK(C254),"",RANK(C254,C$2:C$367,0)+COUNTIF(C$2:C254,C254)-1)</f>
        <v/>
      </c>
    </row>
    <row r="255" spans="1:5" x14ac:dyDescent="0.3">
      <c r="A255" s="5"/>
      <c r="B255" s="5"/>
      <c r="C255" s="7"/>
      <c r="D255" s="5"/>
      <c r="E255" s="5" t="str">
        <f>IF(ISBLANK(C255),"",RANK(C255,C$2:C$367,0)+COUNTIF(C$2:C255,C255)-1)</f>
        <v/>
      </c>
    </row>
    <row r="256" spans="1:5" x14ac:dyDescent="0.3">
      <c r="A256" s="5"/>
      <c r="B256" s="5"/>
      <c r="C256" s="7"/>
      <c r="D256" s="5"/>
      <c r="E256" s="5" t="str">
        <f>IF(ISBLANK(C256),"",RANK(C256,C$2:C$367,0)+COUNTIF(C$2:C256,C256)-1)</f>
        <v/>
      </c>
    </row>
    <row r="257" spans="1:5" x14ac:dyDescent="0.3">
      <c r="A257" s="5"/>
      <c r="B257" s="5"/>
      <c r="C257" s="7"/>
      <c r="D257" s="5"/>
      <c r="E257" s="5" t="str">
        <f>IF(ISBLANK(C257),"",RANK(C257,C$2:C$367,0)+COUNTIF(C$2:C257,C257)-1)</f>
        <v/>
      </c>
    </row>
    <row r="258" spans="1:5" x14ac:dyDescent="0.3">
      <c r="A258" s="5"/>
      <c r="B258" s="5"/>
      <c r="C258" s="7"/>
      <c r="D258" s="5"/>
      <c r="E258" s="5" t="str">
        <f>IF(ISBLANK(C258),"",RANK(C258,C$2:C$367,0)+COUNTIF(C$2:C258,C258)-1)</f>
        <v/>
      </c>
    </row>
    <row r="259" spans="1:5" x14ac:dyDescent="0.3">
      <c r="A259" s="5"/>
      <c r="B259" s="5"/>
      <c r="C259" s="7"/>
      <c r="D259" s="5"/>
      <c r="E259" s="5" t="str">
        <f>IF(ISBLANK(C259),"",RANK(C259,C$2:C$367,0)+COUNTIF(C$2:C259,C259)-1)</f>
        <v/>
      </c>
    </row>
    <row r="260" spans="1:5" x14ac:dyDescent="0.3">
      <c r="A260" s="5"/>
      <c r="B260" s="5"/>
      <c r="C260" s="7"/>
      <c r="D260" s="5"/>
      <c r="E260" s="5" t="str">
        <f>IF(ISBLANK(C260),"",RANK(C260,C$2:C$367,0)+COUNTIF(C$2:C260,C260)-1)</f>
        <v/>
      </c>
    </row>
    <row r="261" spans="1:5" x14ac:dyDescent="0.3">
      <c r="A261" s="5"/>
      <c r="B261" s="5"/>
      <c r="C261" s="7"/>
      <c r="D261" s="5"/>
      <c r="E261" s="5" t="str">
        <f>IF(ISBLANK(C261),"",RANK(C261,C$2:C$367,0)+COUNTIF(C$2:C261,C261)-1)</f>
        <v/>
      </c>
    </row>
    <row r="262" spans="1:5" x14ac:dyDescent="0.3">
      <c r="A262" s="5"/>
      <c r="B262" s="5"/>
      <c r="C262" s="7"/>
      <c r="D262" s="5"/>
      <c r="E262" s="5" t="str">
        <f>IF(ISBLANK(C262),"",RANK(C262,C$2:C$367,0)+COUNTIF(C$2:C262,C262)-1)</f>
        <v/>
      </c>
    </row>
    <row r="263" spans="1:5" x14ac:dyDescent="0.3">
      <c r="A263" s="5"/>
      <c r="B263" s="5"/>
      <c r="C263" s="7"/>
      <c r="D263" s="5"/>
      <c r="E263" s="5" t="str">
        <f>IF(ISBLANK(C263),"",RANK(C263,C$2:C$367,0)+COUNTIF(C$2:C263,C263)-1)</f>
        <v/>
      </c>
    </row>
    <row r="264" spans="1:5" x14ac:dyDescent="0.3">
      <c r="A264" s="5"/>
      <c r="B264" s="5"/>
      <c r="C264" s="7"/>
      <c r="D264" s="5"/>
      <c r="E264" s="5" t="str">
        <f>IF(ISBLANK(C264),"",RANK(C264,C$2:C$367,0)+COUNTIF(C$2:C264,C264)-1)</f>
        <v/>
      </c>
    </row>
    <row r="265" spans="1:5" x14ac:dyDescent="0.3">
      <c r="A265" s="5"/>
      <c r="B265" s="5"/>
      <c r="C265" s="7"/>
      <c r="D265" s="5"/>
      <c r="E265" s="5" t="str">
        <f>IF(ISBLANK(C265),"",RANK(C265,C$2:C$367,0)+COUNTIF(C$2:C265,C265)-1)</f>
        <v/>
      </c>
    </row>
    <row r="266" spans="1:5" x14ac:dyDescent="0.3">
      <c r="A266" s="5"/>
      <c r="B266" s="5"/>
      <c r="C266" s="7"/>
      <c r="D266" s="5"/>
      <c r="E266" s="5" t="str">
        <f>IF(ISBLANK(C266),"",RANK(C266,C$2:C$367,0)+COUNTIF(C$2:C266,C266)-1)</f>
        <v/>
      </c>
    </row>
    <row r="267" spans="1:5" x14ac:dyDescent="0.3">
      <c r="A267" s="5"/>
      <c r="B267" s="5"/>
      <c r="C267" s="7"/>
      <c r="D267" s="5"/>
      <c r="E267" s="5" t="str">
        <f>IF(ISBLANK(C267),"",RANK(C267,C$2:C$367,0)+COUNTIF(C$2:C267,C267)-1)</f>
        <v/>
      </c>
    </row>
    <row r="268" spans="1:5" x14ac:dyDescent="0.3">
      <c r="A268" s="5"/>
      <c r="B268" s="5"/>
      <c r="C268" s="7"/>
      <c r="D268" s="5"/>
      <c r="E268" s="5" t="str">
        <f>IF(ISBLANK(C268),"",RANK(C268,C$2:C$367,0)+COUNTIF(C$2:C268,C268)-1)</f>
        <v/>
      </c>
    </row>
    <row r="269" spans="1:5" x14ac:dyDescent="0.3">
      <c r="A269" s="5"/>
      <c r="B269" s="5"/>
      <c r="C269" s="7"/>
      <c r="D269" s="5"/>
      <c r="E269" s="5" t="str">
        <f>IF(ISBLANK(C269),"",RANK(C269,C$2:C$367,0)+COUNTIF(C$2:C269,C269)-1)</f>
        <v/>
      </c>
    </row>
    <row r="270" spans="1:5" x14ac:dyDescent="0.3">
      <c r="A270" s="5"/>
      <c r="B270" s="5"/>
      <c r="C270" s="7"/>
      <c r="D270" s="5"/>
      <c r="E270" s="5" t="str">
        <f>IF(ISBLANK(C270),"",RANK(C270,C$2:C$367,0)+COUNTIF(C$2:C270,C270)-1)</f>
        <v/>
      </c>
    </row>
    <row r="271" spans="1:5" x14ac:dyDescent="0.3">
      <c r="A271" s="5"/>
      <c r="B271" s="5"/>
      <c r="C271" s="7"/>
      <c r="D271" s="5"/>
      <c r="E271" s="5" t="str">
        <f>IF(ISBLANK(C271),"",RANK(C271,C$2:C$367,0)+COUNTIF(C$2:C271,C271)-1)</f>
        <v/>
      </c>
    </row>
    <row r="272" spans="1:5" x14ac:dyDescent="0.3">
      <c r="A272" s="5"/>
      <c r="B272" s="5"/>
      <c r="C272" s="7"/>
      <c r="D272" s="5"/>
      <c r="E272" s="5" t="str">
        <f>IF(ISBLANK(C272),"",RANK(C272,C$2:C$367,0)+COUNTIF(C$2:C272,C272)-1)</f>
        <v/>
      </c>
    </row>
    <row r="273" spans="1:5" x14ac:dyDescent="0.3">
      <c r="A273" s="5"/>
      <c r="B273" s="5"/>
      <c r="C273" s="7"/>
      <c r="D273" s="5"/>
      <c r="E273" s="5" t="str">
        <f>IF(ISBLANK(C273),"",RANK(C273,C$2:C$367,0)+COUNTIF(C$2:C273,C273)-1)</f>
        <v/>
      </c>
    </row>
    <row r="274" spans="1:5" x14ac:dyDescent="0.3">
      <c r="A274" s="5"/>
      <c r="B274" s="5"/>
      <c r="C274" s="7"/>
      <c r="D274" s="5"/>
      <c r="E274" s="5" t="str">
        <f>IF(ISBLANK(C274),"",RANK(C274,C$2:C$367,0)+COUNTIF(C$2:C274,C274)-1)</f>
        <v/>
      </c>
    </row>
    <row r="275" spans="1:5" x14ac:dyDescent="0.3">
      <c r="A275" s="5"/>
      <c r="B275" s="5"/>
      <c r="C275" s="7"/>
      <c r="D275" s="5"/>
      <c r="E275" s="5" t="str">
        <f>IF(ISBLANK(C275),"",RANK(C275,C$2:C$367,0)+COUNTIF(C$2:C275,C275)-1)</f>
        <v/>
      </c>
    </row>
    <row r="276" spans="1:5" x14ac:dyDescent="0.3">
      <c r="A276" s="5"/>
      <c r="B276" s="5"/>
      <c r="C276" s="7"/>
      <c r="D276" s="5"/>
      <c r="E276" s="5" t="str">
        <f>IF(ISBLANK(C276),"",RANK(C276,C$2:C$367,0)+COUNTIF(C$2:C276,C276)-1)</f>
        <v/>
      </c>
    </row>
    <row r="277" spans="1:5" x14ac:dyDescent="0.3">
      <c r="A277" s="5"/>
      <c r="B277" s="5"/>
      <c r="C277" s="7"/>
      <c r="D277" s="5"/>
      <c r="E277" s="5" t="str">
        <f>IF(ISBLANK(C277),"",RANK(C277,C$2:C$367,0)+COUNTIF(C$2:C277,C277)-1)</f>
        <v/>
      </c>
    </row>
    <row r="278" spans="1:5" x14ac:dyDescent="0.3">
      <c r="A278" s="5"/>
      <c r="B278" s="5"/>
      <c r="C278" s="7"/>
      <c r="D278" s="5"/>
      <c r="E278" s="5" t="str">
        <f>IF(ISBLANK(C278),"",RANK(C278,C$2:C$367,0)+COUNTIF(C$2:C278,C278)-1)</f>
        <v/>
      </c>
    </row>
    <row r="279" spans="1:5" x14ac:dyDescent="0.3">
      <c r="A279" s="5"/>
      <c r="B279" s="5"/>
      <c r="C279" s="7"/>
      <c r="D279" s="5"/>
      <c r="E279" s="5" t="str">
        <f>IF(ISBLANK(C279),"",RANK(C279,C$2:C$367,0)+COUNTIF(C$2:C279,C279)-1)</f>
        <v/>
      </c>
    </row>
    <row r="280" spans="1:5" x14ac:dyDescent="0.3">
      <c r="A280" s="5"/>
      <c r="B280" s="5"/>
      <c r="C280" s="7"/>
      <c r="D280" s="5"/>
      <c r="E280" s="5" t="str">
        <f>IF(ISBLANK(C280),"",RANK(C280,C$2:C$367,0)+COUNTIF(C$2:C280,C280)-1)</f>
        <v/>
      </c>
    </row>
    <row r="281" spans="1:5" x14ac:dyDescent="0.3">
      <c r="A281" s="5"/>
      <c r="B281" s="5"/>
      <c r="C281" s="7"/>
      <c r="D281" s="5"/>
      <c r="E281" s="5" t="str">
        <f>IF(ISBLANK(C281),"",RANK(C281,C$2:C$367,0)+COUNTIF(C$2:C281,C281)-1)</f>
        <v/>
      </c>
    </row>
    <row r="282" spans="1:5" x14ac:dyDescent="0.3">
      <c r="A282" s="5"/>
      <c r="B282" s="5"/>
      <c r="C282" s="7"/>
      <c r="D282" s="5"/>
      <c r="E282" s="5" t="str">
        <f>IF(ISBLANK(C282),"",RANK(C282,C$2:C$367,0)+COUNTIF(C$2:C282,C282)-1)</f>
        <v/>
      </c>
    </row>
    <row r="283" spans="1:5" x14ac:dyDescent="0.3">
      <c r="A283" s="5"/>
      <c r="B283" s="5"/>
      <c r="C283" s="7"/>
      <c r="D283" s="5"/>
      <c r="E283" s="5" t="str">
        <f>IF(ISBLANK(C283),"",RANK(C283,C$2:C$367,0)+COUNTIF(C$2:C283,C283)-1)</f>
        <v/>
      </c>
    </row>
    <row r="284" spans="1:5" x14ac:dyDescent="0.3">
      <c r="A284" s="5"/>
      <c r="B284" s="5"/>
      <c r="C284" s="7"/>
      <c r="D284" s="5"/>
      <c r="E284" s="5" t="str">
        <f>IF(ISBLANK(C284),"",RANK(C284,C$2:C$367,0)+COUNTIF(C$2:C284,C284)-1)</f>
        <v/>
      </c>
    </row>
    <row r="285" spans="1:5" x14ac:dyDescent="0.3">
      <c r="A285" s="5"/>
      <c r="B285" s="5"/>
      <c r="C285" s="7"/>
      <c r="D285" s="5"/>
      <c r="E285" s="5" t="str">
        <f>IF(ISBLANK(C285),"",RANK(C285,C$2:C$367,0)+COUNTIF(C$2:C285,C285)-1)</f>
        <v/>
      </c>
    </row>
    <row r="286" spans="1:5" x14ac:dyDescent="0.3">
      <c r="A286" s="5"/>
      <c r="B286" s="5"/>
      <c r="C286" s="7"/>
      <c r="D286" s="5"/>
      <c r="E286" s="5" t="str">
        <f>IF(ISBLANK(C286),"",RANK(C286,C$2:C$367,0)+COUNTIF(C$2:C286,C286)-1)</f>
        <v/>
      </c>
    </row>
    <row r="287" spans="1:5" x14ac:dyDescent="0.3">
      <c r="A287" s="5"/>
      <c r="B287" s="5"/>
      <c r="C287" s="7"/>
      <c r="D287" s="5"/>
      <c r="E287" s="5" t="str">
        <f>IF(ISBLANK(C287),"",RANK(C287,C$2:C$367,0)+COUNTIF(C$2:C287,C287)-1)</f>
        <v/>
      </c>
    </row>
    <row r="288" spans="1:5" x14ac:dyDescent="0.3">
      <c r="A288" s="5"/>
      <c r="B288" s="5"/>
      <c r="C288" s="7"/>
      <c r="D288" s="5"/>
      <c r="E288" s="5" t="str">
        <f>IF(ISBLANK(C288),"",RANK(C288,C$2:C$367,0)+COUNTIF(C$2:C288,C288)-1)</f>
        <v/>
      </c>
    </row>
    <row r="289" spans="1:5" x14ac:dyDescent="0.3">
      <c r="A289" s="5"/>
      <c r="B289" s="5"/>
      <c r="C289" s="7"/>
      <c r="D289" s="5"/>
      <c r="E289" s="5" t="str">
        <f>IF(ISBLANK(C289),"",RANK(C289,C$2:C$367,0)+COUNTIF(C$2:C289,C289)-1)</f>
        <v/>
      </c>
    </row>
    <row r="290" spans="1:5" x14ac:dyDescent="0.3">
      <c r="A290" s="5"/>
      <c r="B290" s="5"/>
      <c r="C290" s="7"/>
      <c r="D290" s="5"/>
      <c r="E290" s="5" t="str">
        <f>IF(ISBLANK(C290),"",RANK(C290,C$2:C$367,0)+COUNTIF(C$2:C290,C290)-1)</f>
        <v/>
      </c>
    </row>
    <row r="291" spans="1:5" x14ac:dyDescent="0.3">
      <c r="A291" s="5"/>
      <c r="B291" s="5"/>
      <c r="C291" s="7"/>
      <c r="D291" s="5"/>
      <c r="E291" s="5" t="str">
        <f>IF(ISBLANK(C291),"",RANK(C291,C$2:C$367,0)+COUNTIF(C$2:C291,C291)-1)</f>
        <v/>
      </c>
    </row>
    <row r="292" spans="1:5" x14ac:dyDescent="0.3">
      <c r="A292" s="5"/>
      <c r="B292" s="5"/>
      <c r="C292" s="7"/>
      <c r="D292" s="5"/>
      <c r="E292" s="5" t="str">
        <f>IF(ISBLANK(C292),"",RANK(C292,C$2:C$367,0)+COUNTIF(C$2:C292,C292)-1)</f>
        <v/>
      </c>
    </row>
    <row r="293" spans="1:5" x14ac:dyDescent="0.3">
      <c r="A293" s="5"/>
      <c r="B293" s="5"/>
      <c r="C293" s="7"/>
      <c r="D293" s="5"/>
      <c r="E293" s="5" t="str">
        <f>IF(ISBLANK(C293),"",RANK(C293,C$2:C$367,0)+COUNTIF(C$2:C293,C293)-1)</f>
        <v/>
      </c>
    </row>
    <row r="294" spans="1:5" x14ac:dyDescent="0.3">
      <c r="A294" s="5"/>
      <c r="B294" s="5"/>
      <c r="C294" s="7"/>
      <c r="D294" s="5"/>
      <c r="E294" s="5" t="str">
        <f>IF(ISBLANK(C294),"",RANK(C294,C$2:C$367,0)+COUNTIF(C$2:C294,C294)-1)</f>
        <v/>
      </c>
    </row>
    <row r="295" spans="1:5" x14ac:dyDescent="0.3">
      <c r="A295" s="5"/>
      <c r="B295" s="5"/>
      <c r="C295" s="7"/>
      <c r="D295" s="5"/>
      <c r="E295" s="5" t="str">
        <f>IF(ISBLANK(C295),"",RANK(C295,C$2:C$367,0)+COUNTIF(C$2:C295,C295)-1)</f>
        <v/>
      </c>
    </row>
    <row r="296" spans="1:5" x14ac:dyDescent="0.3">
      <c r="A296" s="5"/>
      <c r="B296" s="5"/>
      <c r="C296" s="7"/>
      <c r="D296" s="5"/>
      <c r="E296" s="5" t="str">
        <f>IF(ISBLANK(C296),"",RANK(C296,C$2:C$367,0)+COUNTIF(C$2:C296,C296)-1)</f>
        <v/>
      </c>
    </row>
    <row r="297" spans="1:5" x14ac:dyDescent="0.3">
      <c r="A297" s="5"/>
      <c r="B297" s="5"/>
      <c r="C297" s="7"/>
      <c r="D297" s="5"/>
      <c r="E297" s="5" t="str">
        <f>IF(ISBLANK(C297),"",RANK(C297,C$2:C$367,0)+COUNTIF(C$2:C297,C297)-1)</f>
        <v/>
      </c>
    </row>
    <row r="298" spans="1:5" x14ac:dyDescent="0.3">
      <c r="A298" s="5"/>
      <c r="B298" s="5"/>
      <c r="C298" s="7"/>
      <c r="D298" s="5"/>
      <c r="E298" s="5" t="str">
        <f>IF(ISBLANK(C298),"",RANK(C298,C$2:C$367,0)+COUNTIF(C$2:C298,C298)-1)</f>
        <v/>
      </c>
    </row>
    <row r="299" spans="1:5" x14ac:dyDescent="0.3">
      <c r="A299" s="5"/>
      <c r="B299" s="5"/>
      <c r="C299" s="7"/>
      <c r="D299" s="5"/>
      <c r="E299" s="5" t="str">
        <f>IF(ISBLANK(C299),"",RANK(C299,C$2:C$367,0)+COUNTIF(C$2:C299,C299)-1)</f>
        <v/>
      </c>
    </row>
    <row r="300" spans="1:5" x14ac:dyDescent="0.3">
      <c r="A300" s="5"/>
      <c r="B300" s="5"/>
      <c r="C300" s="7"/>
      <c r="D300" s="5"/>
      <c r="E300" s="5" t="str">
        <f>IF(ISBLANK(C300),"",RANK(C300,C$2:C$367,0)+COUNTIF(C$2:C300,C300)-1)</f>
        <v/>
      </c>
    </row>
    <row r="301" spans="1:5" x14ac:dyDescent="0.3">
      <c r="A301" s="5"/>
      <c r="B301" s="5"/>
      <c r="C301" s="7"/>
      <c r="D301" s="5"/>
      <c r="E301" s="5" t="str">
        <f>IF(ISBLANK(C301),"",RANK(C301,C$2:C$367,0)+COUNTIF(C$2:C301,C301)-1)</f>
        <v/>
      </c>
    </row>
    <row r="302" spans="1:5" x14ac:dyDescent="0.3">
      <c r="A302" s="5"/>
      <c r="B302" s="5"/>
      <c r="C302" s="7"/>
      <c r="D302" s="5"/>
      <c r="E302" s="5" t="str">
        <f>IF(ISBLANK(C302),"",RANK(C302,C$2:C$367,0)+COUNTIF(C$2:C302,C302)-1)</f>
        <v/>
      </c>
    </row>
    <row r="303" spans="1:5" x14ac:dyDescent="0.3">
      <c r="A303" s="5"/>
      <c r="B303" s="5"/>
      <c r="C303" s="7"/>
      <c r="D303" s="5"/>
      <c r="E303" s="5" t="str">
        <f>IF(ISBLANK(C303),"",RANK(C303,C$2:C$367,0)+COUNTIF(C$2:C303,C303)-1)</f>
        <v/>
      </c>
    </row>
    <row r="304" spans="1:5" x14ac:dyDescent="0.3">
      <c r="A304" s="5"/>
      <c r="B304" s="5"/>
      <c r="C304" s="7"/>
      <c r="D304" s="5"/>
      <c r="E304" s="5" t="str">
        <f>IF(ISBLANK(C304),"",RANK(C304,C$2:C$367,0)+COUNTIF(C$2:C304,C304)-1)</f>
        <v/>
      </c>
    </row>
    <row r="305" spans="1:5" x14ac:dyDescent="0.3">
      <c r="A305" s="5"/>
      <c r="B305" s="5"/>
      <c r="C305" s="7"/>
      <c r="D305" s="5"/>
      <c r="E305" s="5" t="str">
        <f>IF(ISBLANK(C305),"",RANK(C305,C$2:C$367,0)+COUNTIF(C$2:C305,C305)-1)</f>
        <v/>
      </c>
    </row>
    <row r="306" spans="1:5" x14ac:dyDescent="0.3">
      <c r="A306" s="5"/>
      <c r="B306" s="5"/>
      <c r="C306" s="7"/>
      <c r="D306" s="5"/>
      <c r="E306" s="5" t="str">
        <f>IF(ISBLANK(C306),"",RANK(C306,C$2:C$367,0)+COUNTIF(C$2:C306,C306)-1)</f>
        <v/>
      </c>
    </row>
    <row r="307" spans="1:5" x14ac:dyDescent="0.3">
      <c r="A307" s="5"/>
      <c r="B307" s="5"/>
      <c r="C307" s="7"/>
      <c r="D307" s="5"/>
      <c r="E307" s="5" t="str">
        <f>IF(ISBLANK(C307),"",RANK(C307,C$2:C$367,0)+COUNTIF(C$2:C307,C307)-1)</f>
        <v/>
      </c>
    </row>
    <row r="308" spans="1:5" x14ac:dyDescent="0.3">
      <c r="A308" s="5"/>
      <c r="B308" s="5"/>
      <c r="C308" s="7"/>
      <c r="D308" s="5"/>
      <c r="E308" s="5" t="str">
        <f>IF(ISBLANK(C308),"",RANK(C308,C$2:C$367,0)+COUNTIF(C$2:C308,C308)-1)</f>
        <v/>
      </c>
    </row>
    <row r="309" spans="1:5" x14ac:dyDescent="0.3">
      <c r="A309" s="5"/>
      <c r="B309" s="5"/>
      <c r="C309" s="7"/>
      <c r="D309" s="5"/>
      <c r="E309" s="5" t="str">
        <f>IF(ISBLANK(C309),"",RANK(C309,C$2:C$367,0)+COUNTIF(C$2:C309,C309)-1)</f>
        <v/>
      </c>
    </row>
    <row r="310" spans="1:5" x14ac:dyDescent="0.3">
      <c r="A310" s="5"/>
      <c r="B310" s="5"/>
      <c r="C310" s="7"/>
      <c r="D310" s="5"/>
      <c r="E310" s="5" t="str">
        <f>IF(ISBLANK(C310),"",RANK(C310,C$2:C$367,0)+COUNTIF(C$2:C310,C310)-1)</f>
        <v/>
      </c>
    </row>
    <row r="311" spans="1:5" x14ac:dyDescent="0.3">
      <c r="A311" s="5"/>
      <c r="B311" s="5"/>
      <c r="C311" s="7"/>
      <c r="D311" s="5"/>
      <c r="E311" s="5" t="str">
        <f>IF(ISBLANK(C311),"",RANK(C311,C$2:C$367,0)+COUNTIF(C$2:C311,C311)-1)</f>
        <v/>
      </c>
    </row>
    <row r="312" spans="1:5" x14ac:dyDescent="0.3">
      <c r="A312" s="5"/>
      <c r="B312" s="5"/>
      <c r="C312" s="7"/>
      <c r="D312" s="5"/>
      <c r="E312" s="5" t="str">
        <f>IF(ISBLANK(C312),"",RANK(C312,C$2:C$367,0)+COUNTIF(C$2:C312,C312)-1)</f>
        <v/>
      </c>
    </row>
    <row r="313" spans="1:5" x14ac:dyDescent="0.3">
      <c r="A313" s="5"/>
      <c r="B313" s="5"/>
      <c r="C313" s="7"/>
      <c r="D313" s="5"/>
      <c r="E313" s="5" t="str">
        <f>IF(ISBLANK(C313),"",RANK(C313,C$2:C$367,0)+COUNTIF(C$2:C313,C313)-1)</f>
        <v/>
      </c>
    </row>
    <row r="314" spans="1:5" x14ac:dyDescent="0.3">
      <c r="A314" s="5"/>
      <c r="B314" s="5"/>
      <c r="C314" s="7"/>
      <c r="D314" s="5"/>
      <c r="E314" s="5" t="str">
        <f>IF(ISBLANK(C314),"",RANK(C314,C$2:C$367,0)+COUNTIF(C$2:C314,C314)-1)</f>
        <v/>
      </c>
    </row>
    <row r="315" spans="1:5" x14ac:dyDescent="0.3">
      <c r="A315" s="5"/>
      <c r="B315" s="5"/>
      <c r="C315" s="7"/>
      <c r="D315" s="5"/>
      <c r="E315" s="5" t="str">
        <f>IF(ISBLANK(C315),"",RANK(C315,C$2:C$367,0)+COUNTIF(C$2:C315,C315)-1)</f>
        <v/>
      </c>
    </row>
    <row r="316" spans="1:5" x14ac:dyDescent="0.3">
      <c r="A316" s="5"/>
      <c r="B316" s="5"/>
      <c r="C316" s="7"/>
      <c r="D316" s="5"/>
      <c r="E316" s="5" t="str">
        <f>IF(ISBLANK(C316),"",RANK(C316,C$2:C$367,0)+COUNTIF(C$2:C316,C316)-1)</f>
        <v/>
      </c>
    </row>
    <row r="317" spans="1:5" x14ac:dyDescent="0.3">
      <c r="A317" s="5"/>
      <c r="B317" s="5"/>
      <c r="C317" s="7"/>
      <c r="D317" s="5"/>
      <c r="E317" s="5" t="str">
        <f>IF(ISBLANK(C317),"",RANK(C317,C$2:C$367,0)+COUNTIF(C$2:C317,C317)-1)</f>
        <v/>
      </c>
    </row>
    <row r="318" spans="1:5" x14ac:dyDescent="0.3">
      <c r="A318" s="5"/>
      <c r="B318" s="5"/>
      <c r="C318" s="7"/>
      <c r="D318" s="5"/>
      <c r="E318" s="5" t="str">
        <f>IF(ISBLANK(C318),"",RANK(C318,C$2:C$367,0)+COUNTIF(C$2:C318,C318)-1)</f>
        <v/>
      </c>
    </row>
    <row r="319" spans="1:5" x14ac:dyDescent="0.3">
      <c r="A319" s="5"/>
      <c r="B319" s="5"/>
      <c r="C319" s="7"/>
      <c r="D319" s="5"/>
      <c r="E319" s="5" t="str">
        <f>IF(ISBLANK(C319),"",RANK(C319,C$2:C$367,0)+COUNTIF(C$2:C319,C319)-1)</f>
        <v/>
      </c>
    </row>
    <row r="320" spans="1:5" x14ac:dyDescent="0.3">
      <c r="A320" s="5"/>
      <c r="B320" s="5"/>
      <c r="C320" s="7"/>
      <c r="D320" s="5"/>
      <c r="E320" s="5" t="str">
        <f>IF(ISBLANK(C320),"",RANK(C320,C$2:C$367,0)+COUNTIF(C$2:C320,C320)-1)</f>
        <v/>
      </c>
    </row>
    <row r="321" spans="1:5" x14ac:dyDescent="0.3">
      <c r="A321" s="5"/>
      <c r="B321" s="5"/>
      <c r="C321" s="7"/>
      <c r="D321" s="5"/>
      <c r="E321" s="5" t="str">
        <f>IF(ISBLANK(C321),"",RANK(C321,C$2:C$367,0)+COUNTIF(C$2:C321,C321)-1)</f>
        <v/>
      </c>
    </row>
    <row r="322" spans="1:5" x14ac:dyDescent="0.3">
      <c r="A322" s="5"/>
      <c r="B322" s="5"/>
      <c r="C322" s="7"/>
      <c r="D322" s="5"/>
      <c r="E322" s="5" t="str">
        <f>IF(ISBLANK(C322),"",RANK(C322,C$2:C$367,0)+COUNTIF(C$2:C322,C322)-1)</f>
        <v/>
      </c>
    </row>
    <row r="323" spans="1:5" x14ac:dyDescent="0.3">
      <c r="A323" s="5"/>
      <c r="B323" s="5"/>
      <c r="C323" s="7"/>
      <c r="D323" s="5"/>
      <c r="E323" s="5" t="str">
        <f>IF(ISBLANK(C323),"",RANK(C323,C$2:C$367,0)+COUNTIF(C$2:C323,C323)-1)</f>
        <v/>
      </c>
    </row>
    <row r="324" spans="1:5" x14ac:dyDescent="0.3">
      <c r="A324" s="5"/>
      <c r="B324" s="5"/>
      <c r="C324" s="7"/>
      <c r="D324" s="5"/>
      <c r="E324" s="5" t="str">
        <f>IF(ISBLANK(C324),"",RANK(C324,C$2:C$367,0)+COUNTIF(C$2:C324,C324)-1)</f>
        <v/>
      </c>
    </row>
    <row r="325" spans="1:5" x14ac:dyDescent="0.3">
      <c r="A325" s="5"/>
      <c r="B325" s="5"/>
      <c r="C325" s="7"/>
      <c r="D325" s="5"/>
      <c r="E325" s="5" t="str">
        <f>IF(ISBLANK(C325),"",RANK(C325,C$2:C$367,0)+COUNTIF(C$2:C325,C325)-1)</f>
        <v/>
      </c>
    </row>
    <row r="326" spans="1:5" x14ac:dyDescent="0.3">
      <c r="A326" s="5"/>
      <c r="B326" s="5"/>
      <c r="C326" s="7"/>
      <c r="D326" s="5"/>
      <c r="E326" s="5" t="str">
        <f>IF(ISBLANK(C326),"",RANK(C326,C$2:C$367,0)+COUNTIF(C$2:C326,C326)-1)</f>
        <v/>
      </c>
    </row>
    <row r="327" spans="1:5" x14ac:dyDescent="0.3">
      <c r="A327" s="5"/>
      <c r="B327" s="5"/>
      <c r="C327" s="7"/>
      <c r="D327" s="5"/>
      <c r="E327" s="5" t="str">
        <f>IF(ISBLANK(C327),"",RANK(C327,C$2:C$367,0)+COUNTIF(C$2:C327,C327)-1)</f>
        <v/>
      </c>
    </row>
    <row r="328" spans="1:5" x14ac:dyDescent="0.3">
      <c r="A328" s="5"/>
      <c r="B328" s="5"/>
      <c r="C328" s="7"/>
      <c r="D328" s="5"/>
      <c r="E328" s="5" t="str">
        <f>IF(ISBLANK(C328),"",RANK(C328,C$2:C$367,0)+COUNTIF(C$2:C328,C328)-1)</f>
        <v/>
      </c>
    </row>
    <row r="329" spans="1:5" x14ac:dyDescent="0.3">
      <c r="A329" s="5"/>
      <c r="B329" s="5"/>
      <c r="C329" s="7"/>
      <c r="D329" s="5"/>
      <c r="E329" s="5" t="str">
        <f>IF(ISBLANK(C329),"",RANK(C329,C$2:C$367,0)+COUNTIF(C$2:C329,C329)-1)</f>
        <v/>
      </c>
    </row>
    <row r="330" spans="1:5" x14ac:dyDescent="0.3">
      <c r="A330" s="5"/>
      <c r="B330" s="5"/>
      <c r="C330" s="7"/>
      <c r="D330" s="5"/>
      <c r="E330" s="5" t="str">
        <f>IF(ISBLANK(C330),"",RANK(C330,C$2:C$367,0)+COUNTIF(C$2:C330,C330)-1)</f>
        <v/>
      </c>
    </row>
    <row r="331" spans="1:5" x14ac:dyDescent="0.3">
      <c r="A331" s="5"/>
      <c r="B331" s="5"/>
      <c r="C331" s="7"/>
      <c r="D331" s="5"/>
      <c r="E331" s="5" t="str">
        <f>IF(ISBLANK(C331),"",RANK(C331,C$2:C$367,0)+COUNTIF(C$2:C331,C331)-1)</f>
        <v/>
      </c>
    </row>
    <row r="332" spans="1:5" x14ac:dyDescent="0.3">
      <c r="A332" s="5"/>
      <c r="B332" s="5"/>
      <c r="C332" s="7"/>
      <c r="D332" s="5"/>
      <c r="E332" s="5" t="str">
        <f>IF(ISBLANK(C332),"",RANK(C332,C$2:C$367,0)+COUNTIF(C$2:C332,C332)-1)</f>
        <v/>
      </c>
    </row>
    <row r="333" spans="1:5" x14ac:dyDescent="0.3">
      <c r="A333" s="5"/>
      <c r="B333" s="5"/>
      <c r="C333" s="7"/>
      <c r="D333" s="5"/>
      <c r="E333" s="5" t="str">
        <f>IF(ISBLANK(C333),"",RANK(C333,C$2:C$367,0)+COUNTIF(C$2:C333,C333)-1)</f>
        <v/>
      </c>
    </row>
    <row r="334" spans="1:5" x14ac:dyDescent="0.3">
      <c r="A334" s="5"/>
      <c r="B334" s="5"/>
      <c r="C334" s="7"/>
      <c r="D334" s="5"/>
      <c r="E334" s="5" t="str">
        <f>IF(ISBLANK(C334),"",RANK(C334,C$2:C$367,0)+COUNTIF(C$2:C334,C334)-1)</f>
        <v/>
      </c>
    </row>
    <row r="335" spans="1:5" x14ac:dyDescent="0.3">
      <c r="A335" s="5"/>
      <c r="B335" s="5"/>
      <c r="C335" s="7"/>
      <c r="D335" s="5"/>
      <c r="E335" s="5" t="str">
        <f>IF(ISBLANK(C335),"",RANK(C335,C$2:C$367,0)+COUNTIF(C$2:C335,C335)-1)</f>
        <v/>
      </c>
    </row>
    <row r="336" spans="1:5" x14ac:dyDescent="0.3">
      <c r="A336" s="5"/>
      <c r="B336" s="5"/>
      <c r="C336" s="7"/>
      <c r="D336" s="5"/>
      <c r="E336" s="5" t="str">
        <f>IF(ISBLANK(C336),"",RANK(C336,C$2:C$367,0)+COUNTIF(C$2:C336,C336)-1)</f>
        <v/>
      </c>
    </row>
    <row r="337" spans="1:5" x14ac:dyDescent="0.3">
      <c r="A337" s="5"/>
      <c r="B337" s="5"/>
      <c r="C337" s="7"/>
      <c r="D337" s="5"/>
      <c r="E337" s="5" t="str">
        <f>IF(ISBLANK(C337),"",RANK(C337,C$2:C$367,0)+COUNTIF(C$2:C337,C337)-1)</f>
        <v/>
      </c>
    </row>
    <row r="338" spans="1:5" x14ac:dyDescent="0.3">
      <c r="A338" s="5"/>
      <c r="B338" s="5"/>
      <c r="C338" s="7"/>
      <c r="D338" s="5"/>
      <c r="E338" s="5" t="str">
        <f>IF(ISBLANK(C338),"",RANK(C338,C$2:C$367,0)+COUNTIF(C$2:C338,C338)-1)</f>
        <v/>
      </c>
    </row>
    <row r="339" spans="1:5" x14ac:dyDescent="0.3">
      <c r="A339" s="5"/>
      <c r="B339" s="5"/>
      <c r="C339" s="7"/>
      <c r="D339" s="5"/>
      <c r="E339" s="5" t="str">
        <f>IF(ISBLANK(C339),"",RANK(C339,C$2:C$367,0)+COUNTIF(C$2:C339,C339)-1)</f>
        <v/>
      </c>
    </row>
    <row r="340" spans="1:5" x14ac:dyDescent="0.3">
      <c r="A340" s="5"/>
      <c r="B340" s="5"/>
      <c r="C340" s="7"/>
      <c r="D340" s="5"/>
      <c r="E340" s="5" t="str">
        <f>IF(ISBLANK(C340),"",RANK(C340,C$2:C$367,0)+COUNTIF(C$2:C340,C340)-1)</f>
        <v/>
      </c>
    </row>
    <row r="341" spans="1:5" x14ac:dyDescent="0.3">
      <c r="A341" s="5"/>
      <c r="B341" s="5"/>
      <c r="C341" s="7"/>
      <c r="D341" s="5"/>
      <c r="E341" s="5" t="str">
        <f>IF(ISBLANK(C341),"",RANK(C341,C$2:C$367,0)+COUNTIF(C$2:C341,C341)-1)</f>
        <v/>
      </c>
    </row>
    <row r="342" spans="1:5" x14ac:dyDescent="0.3">
      <c r="A342" s="5"/>
      <c r="B342" s="5"/>
      <c r="C342" s="7"/>
      <c r="D342" s="5"/>
      <c r="E342" s="5" t="str">
        <f>IF(ISBLANK(C342),"",RANK(C342,C$2:C$367,0)+COUNTIF(C$2:C342,C342)-1)</f>
        <v/>
      </c>
    </row>
    <row r="343" spans="1:5" x14ac:dyDescent="0.3">
      <c r="A343" s="5"/>
      <c r="B343" s="5"/>
      <c r="C343" s="7"/>
      <c r="D343" s="5"/>
      <c r="E343" s="5" t="str">
        <f>IF(ISBLANK(C343),"",RANK(C343,C$2:C$367,0)+COUNTIF(C$2:C343,C343)-1)</f>
        <v/>
      </c>
    </row>
    <row r="344" spans="1:5" x14ac:dyDescent="0.3">
      <c r="A344" s="5"/>
      <c r="B344" s="5"/>
      <c r="C344" s="7"/>
      <c r="D344" s="5"/>
      <c r="E344" s="5" t="str">
        <f>IF(ISBLANK(C344),"",RANK(C344,C$2:C$367,0)+COUNTIF(C$2:C344,C344)-1)</f>
        <v/>
      </c>
    </row>
    <row r="345" spans="1:5" x14ac:dyDescent="0.3">
      <c r="A345" s="5"/>
      <c r="B345" s="5"/>
      <c r="C345" s="7"/>
      <c r="D345" s="5"/>
      <c r="E345" s="5" t="str">
        <f>IF(ISBLANK(C345),"",RANK(C345,C$2:C$367,0)+COUNTIF(C$2:C345,C345)-1)</f>
        <v/>
      </c>
    </row>
    <row r="346" spans="1:5" x14ac:dyDescent="0.3">
      <c r="A346" s="5"/>
      <c r="B346" s="5"/>
      <c r="C346" s="7"/>
      <c r="D346" s="5"/>
      <c r="E346" s="5" t="str">
        <f>IF(ISBLANK(C346),"",RANK(C346,C$2:C$367,0)+COUNTIF(C$2:C346,C346)-1)</f>
        <v/>
      </c>
    </row>
    <row r="347" spans="1:5" x14ac:dyDescent="0.3">
      <c r="A347" s="5"/>
      <c r="B347" s="5"/>
      <c r="C347" s="7"/>
      <c r="D347" s="5"/>
      <c r="E347" s="5" t="str">
        <f>IF(ISBLANK(C347),"",RANK(C347,C$2:C$367,0)+COUNTIF(C$2:C347,C347)-1)</f>
        <v/>
      </c>
    </row>
    <row r="348" spans="1:5" x14ac:dyDescent="0.3">
      <c r="A348" s="5"/>
      <c r="B348" s="5"/>
      <c r="C348" s="7"/>
      <c r="D348" s="5"/>
      <c r="E348" s="5" t="str">
        <f>IF(ISBLANK(C348),"",RANK(C348,C$2:C$367,0)+COUNTIF(C$2:C348,C348)-1)</f>
        <v/>
      </c>
    </row>
    <row r="349" spans="1:5" x14ac:dyDescent="0.3">
      <c r="A349" s="5"/>
      <c r="B349" s="5"/>
      <c r="C349" s="7"/>
      <c r="D349" s="5"/>
      <c r="E349" s="5" t="str">
        <f>IF(ISBLANK(C349),"",RANK(C349,C$2:C$367,0)+COUNTIF(C$2:C349,C349)-1)</f>
        <v/>
      </c>
    </row>
    <row r="350" spans="1:5" x14ac:dyDescent="0.3">
      <c r="A350" s="5"/>
      <c r="B350" s="5"/>
      <c r="C350" s="7"/>
      <c r="D350" s="5"/>
      <c r="E350" s="5" t="str">
        <f>IF(ISBLANK(C350),"",RANK(C350,C$2:C$367,0)+COUNTIF(C$2:C350,C350)-1)</f>
        <v/>
      </c>
    </row>
    <row r="351" spans="1:5" x14ac:dyDescent="0.3">
      <c r="A351" s="5"/>
      <c r="B351" s="5"/>
      <c r="C351" s="7"/>
      <c r="D351" s="5"/>
      <c r="E351" s="5" t="str">
        <f>IF(ISBLANK(C351),"",RANK(C351,C$2:C$367,0)+COUNTIF(C$2:C351,C351)-1)</f>
        <v/>
      </c>
    </row>
    <row r="352" spans="1:5" x14ac:dyDescent="0.3">
      <c r="A352" s="5"/>
      <c r="B352" s="5"/>
      <c r="C352" s="7"/>
      <c r="D352" s="5"/>
      <c r="E352" s="5" t="str">
        <f>IF(ISBLANK(C352),"",RANK(C352,C$2:C$367,0)+COUNTIF(C$2:C352,C352)-1)</f>
        <v/>
      </c>
    </row>
    <row r="353" spans="1:5" x14ac:dyDescent="0.3">
      <c r="A353" s="5"/>
      <c r="B353" s="5"/>
      <c r="C353" s="7"/>
      <c r="D353" s="5"/>
      <c r="E353" s="5" t="str">
        <f>IF(ISBLANK(C353),"",RANK(C353,C$2:C$367,0)+COUNTIF(C$2:C353,C353)-1)</f>
        <v/>
      </c>
    </row>
    <row r="354" spans="1:5" x14ac:dyDescent="0.3">
      <c r="A354" s="5"/>
      <c r="B354" s="5"/>
      <c r="C354" s="7"/>
      <c r="D354" s="5"/>
      <c r="E354" s="5" t="str">
        <f>IF(ISBLANK(C354),"",RANK(C354,C$2:C$367,0)+COUNTIF(C$2:C354,C354)-1)</f>
        <v/>
      </c>
    </row>
    <row r="355" spans="1:5" x14ac:dyDescent="0.3">
      <c r="A355" s="5"/>
      <c r="B355" s="5"/>
      <c r="C355" s="7"/>
      <c r="D355" s="5"/>
      <c r="E355" s="5" t="str">
        <f>IF(ISBLANK(C355),"",RANK(C355,C$2:C$367,0)+COUNTIF(C$2:C355,C355)-1)</f>
        <v/>
      </c>
    </row>
    <row r="356" spans="1:5" x14ac:dyDescent="0.3">
      <c r="A356" s="5"/>
      <c r="B356" s="5"/>
      <c r="C356" s="7"/>
      <c r="D356" s="5"/>
      <c r="E356" s="5" t="str">
        <f>IF(ISBLANK(C356),"",RANK(C356,C$2:C$367,0)+COUNTIF(C$2:C356,C356)-1)</f>
        <v/>
      </c>
    </row>
    <row r="357" spans="1:5" x14ac:dyDescent="0.3">
      <c r="A357" s="5"/>
      <c r="B357" s="5"/>
      <c r="C357" s="7"/>
      <c r="D357" s="5"/>
      <c r="E357" s="5" t="str">
        <f>IF(ISBLANK(C357),"",RANK(C357,C$2:C$367,0)+COUNTIF(C$2:C357,C357)-1)</f>
        <v/>
      </c>
    </row>
    <row r="358" spans="1:5" x14ac:dyDescent="0.3">
      <c r="A358" s="5"/>
      <c r="B358" s="5"/>
      <c r="C358" s="7"/>
      <c r="D358" s="5"/>
      <c r="E358" s="5" t="str">
        <f>IF(ISBLANK(C358),"",RANK(C358,C$2:C$367,0)+COUNTIF(C$2:C358,C358)-1)</f>
        <v/>
      </c>
    </row>
    <row r="359" spans="1:5" x14ac:dyDescent="0.3">
      <c r="A359" s="5"/>
      <c r="B359" s="5"/>
      <c r="C359" s="7"/>
      <c r="D359" s="5"/>
      <c r="E359" s="5" t="str">
        <f>IF(ISBLANK(C359),"",RANK(C359,C$2:C$367,0)+COUNTIF(C$2:C359,C359)-1)</f>
        <v/>
      </c>
    </row>
    <row r="360" spans="1:5" x14ac:dyDescent="0.3">
      <c r="A360" s="5"/>
      <c r="B360" s="5"/>
      <c r="C360" s="7"/>
      <c r="D360" s="5"/>
      <c r="E360" s="5" t="str">
        <f>IF(ISBLANK(C360),"",RANK(C360,C$2:C$367,0)+COUNTIF(C$2:C360,C360)-1)</f>
        <v/>
      </c>
    </row>
    <row r="361" spans="1:5" x14ac:dyDescent="0.3">
      <c r="A361" s="5"/>
      <c r="B361" s="5"/>
      <c r="C361" s="7"/>
      <c r="D361" s="5"/>
      <c r="E361" s="5" t="str">
        <f>IF(ISBLANK(C361),"",RANK(C361,C$2:C$367,0)+COUNTIF(C$2:C361,C361)-1)</f>
        <v/>
      </c>
    </row>
    <row r="362" spans="1:5" x14ac:dyDescent="0.3">
      <c r="A362" s="5"/>
      <c r="B362" s="5"/>
      <c r="C362" s="7"/>
      <c r="D362" s="5"/>
      <c r="E362" s="5" t="str">
        <f>IF(ISBLANK(C362),"",RANK(C362,C$2:C$367,0)+COUNTIF(C$2:C362,C362)-1)</f>
        <v/>
      </c>
    </row>
    <row r="363" spans="1:5" x14ac:dyDescent="0.3">
      <c r="A363" s="5"/>
      <c r="B363" s="5"/>
      <c r="C363" s="7"/>
      <c r="D363" s="5"/>
      <c r="E363" s="5" t="str">
        <f>IF(ISBLANK(C363),"",RANK(C363,C$2:C$367,0)+COUNTIF(C$2:C363,C363)-1)</f>
        <v/>
      </c>
    </row>
    <row r="364" spans="1:5" x14ac:dyDescent="0.3">
      <c r="A364" s="5"/>
      <c r="B364" s="5"/>
      <c r="C364" s="7"/>
      <c r="D364" s="5"/>
      <c r="E364" s="5" t="str">
        <f>IF(ISBLANK(C364),"",RANK(C364,C$2:C$367,0)+COUNTIF(C$2:C364,C364)-1)</f>
        <v/>
      </c>
    </row>
    <row r="365" spans="1:5" x14ac:dyDescent="0.3">
      <c r="A365" s="5"/>
      <c r="B365" s="5"/>
      <c r="C365" s="7"/>
      <c r="D365" s="5"/>
      <c r="E365" s="5" t="str">
        <f>IF(ISBLANK(C365),"",RANK(C365,C$2:C$367,0)+COUNTIF(C$2:C365,C365)-1)</f>
        <v/>
      </c>
    </row>
    <row r="366" spans="1:5" x14ac:dyDescent="0.3">
      <c r="A366" s="5"/>
      <c r="B366" s="5"/>
      <c r="C366" s="7"/>
      <c r="D366" s="5"/>
      <c r="E366" s="5" t="str">
        <f>IF(ISBLANK(C366),"",RANK(C366,C$2:C$367,0)+COUNTIF(C$2:C366,C366)-1)</f>
        <v/>
      </c>
    </row>
    <row r="367" spans="1:5" x14ac:dyDescent="0.3">
      <c r="C367" s="10"/>
      <c r="E367" s="5" t="str">
        <f>IF(ISBLANK(C367),"",RANK(C367,C$2:C$367,0)+COUNTIF(C$2:C367,C367)-1)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47EC-CD6F-490D-834E-E916F20F9B89}">
  <dimension ref="A1:E36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2" width="10.77734375" customWidth="1"/>
    <col min="3" max="3" width="12.77734375" customWidth="1"/>
    <col min="4" max="4" width="10.77734375" customWidth="1"/>
    <col min="5" max="5" width="12.77734375" customWidth="1"/>
  </cols>
  <sheetData>
    <row r="1" spans="1:5" ht="43.2" customHeight="1" x14ac:dyDescent="0.3">
      <c r="A1" s="2" t="s">
        <v>0</v>
      </c>
      <c r="B1" s="2" t="s">
        <v>24</v>
      </c>
      <c r="C1" s="2" t="s">
        <v>25</v>
      </c>
      <c r="D1" s="2" t="s">
        <v>1</v>
      </c>
      <c r="E1" s="2" t="s">
        <v>26</v>
      </c>
    </row>
    <row r="2" spans="1:5" x14ac:dyDescent="0.3">
      <c r="A2" s="5"/>
      <c r="B2" s="5"/>
      <c r="C2" s="7"/>
      <c r="D2" s="5"/>
      <c r="E2" s="5" t="str">
        <f>IF(ISBLANK(C2),"",RANK(C2,C$2:C$367,0)+COUNTIF(C$2:C2,C2)-1)</f>
        <v/>
      </c>
    </row>
    <row r="3" spans="1:5" x14ac:dyDescent="0.3">
      <c r="A3" s="5"/>
      <c r="B3" s="5"/>
      <c r="C3" s="7"/>
      <c r="D3" s="5"/>
      <c r="E3" s="5" t="str">
        <f>IF(ISBLANK(C3),"",RANK(C3,C$2:C$367,0)+COUNTIF(C$2:C3,C3)-1)</f>
        <v/>
      </c>
    </row>
    <row r="4" spans="1:5" x14ac:dyDescent="0.3">
      <c r="A4" s="5"/>
      <c r="B4" s="5"/>
      <c r="C4" s="7"/>
      <c r="D4" s="5"/>
      <c r="E4" s="5" t="str">
        <f>IF(ISBLANK(C4),"",RANK(C4,C$2:C$367,0)+COUNTIF(C$2:C4,C4)-1)</f>
        <v/>
      </c>
    </row>
    <row r="5" spans="1:5" x14ac:dyDescent="0.3">
      <c r="A5" s="5"/>
      <c r="B5" s="5"/>
      <c r="C5" s="7"/>
      <c r="D5" s="5"/>
      <c r="E5" s="5" t="str">
        <f>IF(ISBLANK(C5),"",RANK(C5,C$2:C$367,0)+COUNTIF(C$2:C5,C5)-1)</f>
        <v/>
      </c>
    </row>
    <row r="6" spans="1:5" x14ac:dyDescent="0.3">
      <c r="A6" s="5"/>
      <c r="B6" s="5"/>
      <c r="C6" s="7"/>
      <c r="D6" s="5"/>
      <c r="E6" s="5" t="str">
        <f>IF(ISBLANK(C6),"",RANK(C6,C$2:C$367,0)+COUNTIF(C$2:C6,C6)-1)</f>
        <v/>
      </c>
    </row>
    <row r="7" spans="1:5" x14ac:dyDescent="0.3">
      <c r="A7" s="5"/>
      <c r="B7" s="5"/>
      <c r="C7" s="7"/>
      <c r="D7" s="5"/>
      <c r="E7" s="5" t="str">
        <f>IF(ISBLANK(C7),"",RANK(C7,C$2:C$367,0)+COUNTIF(C$2:C7,C7)-1)</f>
        <v/>
      </c>
    </row>
    <row r="8" spans="1:5" x14ac:dyDescent="0.3">
      <c r="A8" s="5"/>
      <c r="B8" s="5"/>
      <c r="C8" s="7"/>
      <c r="D8" s="5"/>
      <c r="E8" s="5" t="str">
        <f>IF(ISBLANK(C8),"",RANK(C8,C$2:C$367,0)+COUNTIF(C$2:C8,C8)-1)</f>
        <v/>
      </c>
    </row>
    <row r="9" spans="1:5" x14ac:dyDescent="0.3">
      <c r="A9" s="5"/>
      <c r="B9" s="5"/>
      <c r="C9" s="7"/>
      <c r="D9" s="5"/>
      <c r="E9" s="5" t="str">
        <f>IF(ISBLANK(C9),"",RANK(C9,C$2:C$367,0)+COUNTIF(C$2:C9,C9)-1)</f>
        <v/>
      </c>
    </row>
    <row r="10" spans="1:5" x14ac:dyDescent="0.3">
      <c r="A10" s="5"/>
      <c r="B10" s="5"/>
      <c r="C10" s="7"/>
      <c r="D10" s="5"/>
      <c r="E10" s="5" t="str">
        <f>IF(ISBLANK(C10),"",RANK(C10,C$2:C$367,0)+COUNTIF(C$2:C10,C10)-1)</f>
        <v/>
      </c>
    </row>
    <row r="11" spans="1:5" x14ac:dyDescent="0.3">
      <c r="A11" s="5"/>
      <c r="B11" s="5"/>
      <c r="C11" s="7"/>
      <c r="D11" s="5"/>
      <c r="E11" s="5" t="str">
        <f>IF(ISBLANK(C11),"",RANK(C11,C$2:C$367,0)+COUNTIF(C$2:C11,C11)-1)</f>
        <v/>
      </c>
    </row>
    <row r="12" spans="1:5" x14ac:dyDescent="0.3">
      <c r="A12" s="5"/>
      <c r="B12" s="5"/>
      <c r="C12" s="7"/>
      <c r="D12" s="5"/>
      <c r="E12" s="5" t="str">
        <f>IF(ISBLANK(C12),"",RANK(C12,C$2:C$367,0)+COUNTIF(C$2:C12,C12)-1)</f>
        <v/>
      </c>
    </row>
    <row r="13" spans="1:5" x14ac:dyDescent="0.3">
      <c r="A13" s="5"/>
      <c r="B13" s="5"/>
      <c r="C13" s="7"/>
      <c r="D13" s="5"/>
      <c r="E13" s="5" t="str">
        <f>IF(ISBLANK(C13),"",RANK(C13,C$2:C$367,0)+COUNTIF(C$2:C13,C13)-1)</f>
        <v/>
      </c>
    </row>
    <row r="14" spans="1:5" x14ac:dyDescent="0.3">
      <c r="A14" s="5"/>
      <c r="B14" s="5"/>
      <c r="C14" s="7"/>
      <c r="D14" s="5"/>
      <c r="E14" s="5" t="str">
        <f>IF(ISBLANK(C14),"",RANK(C14,C$2:C$367,0)+COUNTIF(C$2:C14,C14)-1)</f>
        <v/>
      </c>
    </row>
    <row r="15" spans="1:5" x14ac:dyDescent="0.3">
      <c r="A15" s="5"/>
      <c r="B15" s="5"/>
      <c r="C15" s="7"/>
      <c r="D15" s="5"/>
      <c r="E15" s="5" t="str">
        <f>IF(ISBLANK(C15),"",RANK(C15,C$2:C$367,0)+COUNTIF(C$2:C15,C15)-1)</f>
        <v/>
      </c>
    </row>
    <row r="16" spans="1:5" x14ac:dyDescent="0.3">
      <c r="A16" s="5"/>
      <c r="B16" s="5"/>
      <c r="C16" s="7"/>
      <c r="D16" s="5"/>
      <c r="E16" s="5" t="str">
        <f>IF(ISBLANK(C16),"",RANK(C16,C$2:C$367,0)+COUNTIF(C$2:C16,C16)-1)</f>
        <v/>
      </c>
    </row>
    <row r="17" spans="1:5" x14ac:dyDescent="0.3">
      <c r="A17" s="5"/>
      <c r="B17" s="5"/>
      <c r="C17" s="7"/>
      <c r="D17" s="5"/>
      <c r="E17" s="5" t="str">
        <f>IF(ISBLANK(C17),"",RANK(C17,C$2:C$367,0)+COUNTIF(C$2:C17,C17)-1)</f>
        <v/>
      </c>
    </row>
    <row r="18" spans="1:5" x14ac:dyDescent="0.3">
      <c r="A18" s="5"/>
      <c r="B18" s="5"/>
      <c r="C18" s="7"/>
      <c r="D18" s="5"/>
      <c r="E18" s="5" t="str">
        <f>IF(ISBLANK(C18),"",RANK(C18,C$2:C$367,0)+COUNTIF(C$2:C18,C18)-1)</f>
        <v/>
      </c>
    </row>
    <row r="19" spans="1:5" x14ac:dyDescent="0.3">
      <c r="A19" s="5"/>
      <c r="B19" s="5"/>
      <c r="C19" s="7"/>
      <c r="D19" s="5"/>
      <c r="E19" s="5" t="str">
        <f>IF(ISBLANK(C19),"",RANK(C19,C$2:C$367,0)+COUNTIF(C$2:C19,C19)-1)</f>
        <v/>
      </c>
    </row>
    <row r="20" spans="1:5" x14ac:dyDescent="0.3">
      <c r="A20" s="5"/>
      <c r="B20" s="5"/>
      <c r="C20" s="7"/>
      <c r="D20" s="5"/>
      <c r="E20" s="5" t="str">
        <f>IF(ISBLANK(C20),"",RANK(C20,C$2:C$367,0)+COUNTIF(C$2:C20,C20)-1)</f>
        <v/>
      </c>
    </row>
    <row r="21" spans="1:5" x14ac:dyDescent="0.3">
      <c r="A21" s="5"/>
      <c r="B21" s="5"/>
      <c r="C21" s="7"/>
      <c r="D21" s="5"/>
      <c r="E21" s="5" t="str">
        <f>IF(ISBLANK(C21),"",RANK(C21,C$2:C$367,0)+COUNTIF(C$2:C21,C21)-1)</f>
        <v/>
      </c>
    </row>
    <row r="22" spans="1:5" x14ac:dyDescent="0.3">
      <c r="A22" s="5"/>
      <c r="B22" s="5"/>
      <c r="C22" s="7"/>
      <c r="D22" s="5"/>
      <c r="E22" s="5" t="str">
        <f>IF(ISBLANK(C22),"",RANK(C22,C$2:C$367,0)+COUNTIF(C$2:C22,C22)-1)</f>
        <v/>
      </c>
    </row>
    <row r="23" spans="1:5" x14ac:dyDescent="0.3">
      <c r="A23" s="5"/>
      <c r="B23" s="5"/>
      <c r="C23" s="7"/>
      <c r="D23" s="5"/>
      <c r="E23" s="5" t="str">
        <f>IF(ISBLANK(C23),"",RANK(C23,C$2:C$367,0)+COUNTIF(C$2:C23,C23)-1)</f>
        <v/>
      </c>
    </row>
    <row r="24" spans="1:5" x14ac:dyDescent="0.3">
      <c r="A24" s="5"/>
      <c r="B24" s="5"/>
      <c r="C24" s="7"/>
      <c r="D24" s="5"/>
      <c r="E24" s="5" t="str">
        <f>IF(ISBLANK(C24),"",RANK(C24,C$2:C$367,0)+COUNTIF(C$2:C24,C24)-1)</f>
        <v/>
      </c>
    </row>
    <row r="25" spans="1:5" x14ac:dyDescent="0.3">
      <c r="A25" s="5"/>
      <c r="B25" s="5"/>
      <c r="C25" s="7"/>
      <c r="D25" s="5"/>
      <c r="E25" s="5" t="str">
        <f>IF(ISBLANK(C25),"",RANK(C25,C$2:C$367,0)+COUNTIF(C$2:C25,C25)-1)</f>
        <v/>
      </c>
    </row>
    <row r="26" spans="1:5" x14ac:dyDescent="0.3">
      <c r="A26" s="5"/>
      <c r="B26" s="5"/>
      <c r="C26" s="7"/>
      <c r="D26" s="5"/>
      <c r="E26" s="5" t="str">
        <f>IF(ISBLANK(C26),"",RANK(C26,C$2:C$367,0)+COUNTIF(C$2:C26,C26)-1)</f>
        <v/>
      </c>
    </row>
    <row r="27" spans="1:5" x14ac:dyDescent="0.3">
      <c r="A27" s="5"/>
      <c r="B27" s="5"/>
      <c r="C27" s="7"/>
      <c r="D27" s="5"/>
      <c r="E27" s="5" t="str">
        <f>IF(ISBLANK(C27),"",RANK(C27,C$2:C$367,0)+COUNTIF(C$2:C27,C27)-1)</f>
        <v/>
      </c>
    </row>
    <row r="28" spans="1:5" x14ac:dyDescent="0.3">
      <c r="A28" s="5"/>
      <c r="B28" s="5"/>
      <c r="C28" s="7"/>
      <c r="D28" s="5"/>
      <c r="E28" s="5" t="str">
        <f>IF(ISBLANK(C28),"",RANK(C28,C$2:C$367,0)+COUNTIF(C$2:C28,C28)-1)</f>
        <v/>
      </c>
    </row>
    <row r="29" spans="1:5" x14ac:dyDescent="0.3">
      <c r="A29" s="5"/>
      <c r="B29" s="5"/>
      <c r="C29" s="7"/>
      <c r="D29" s="5"/>
      <c r="E29" s="5" t="str">
        <f>IF(ISBLANK(C29),"",RANK(C29,C$2:C$367,0)+COUNTIF(C$2:C29,C29)-1)</f>
        <v/>
      </c>
    </row>
    <row r="30" spans="1:5" x14ac:dyDescent="0.3">
      <c r="A30" s="5"/>
      <c r="B30" s="5"/>
      <c r="C30" s="7"/>
      <c r="D30" s="5"/>
      <c r="E30" s="5" t="str">
        <f>IF(ISBLANK(C30),"",RANK(C30,C$2:C$367,0)+COUNTIF(C$2:C30,C30)-1)</f>
        <v/>
      </c>
    </row>
    <row r="31" spans="1:5" x14ac:dyDescent="0.3">
      <c r="A31" s="5"/>
      <c r="B31" s="5"/>
      <c r="C31" s="7"/>
      <c r="D31" s="5"/>
      <c r="E31" s="5" t="str">
        <f>IF(ISBLANK(C31),"",RANK(C31,C$2:C$367,0)+COUNTIF(C$2:C31,C31)-1)</f>
        <v/>
      </c>
    </row>
    <row r="32" spans="1:5" x14ac:dyDescent="0.3">
      <c r="A32" s="5"/>
      <c r="B32" s="5"/>
      <c r="C32" s="7"/>
      <c r="D32" s="5"/>
      <c r="E32" s="5" t="str">
        <f>IF(ISBLANK(C32),"",RANK(C32,C$2:C$367,0)+COUNTIF(C$2:C32,C32)-1)</f>
        <v/>
      </c>
    </row>
    <row r="33" spans="1:5" x14ac:dyDescent="0.3">
      <c r="A33" s="5"/>
      <c r="B33" s="5"/>
      <c r="C33" s="7"/>
      <c r="D33" s="5"/>
      <c r="E33" s="5" t="str">
        <f>IF(ISBLANK(C33),"",RANK(C33,C$2:C$367,0)+COUNTIF(C$2:C33,C33)-1)</f>
        <v/>
      </c>
    </row>
    <row r="34" spans="1:5" x14ac:dyDescent="0.3">
      <c r="A34" s="5"/>
      <c r="B34" s="5"/>
      <c r="C34" s="7"/>
      <c r="D34" s="5"/>
      <c r="E34" s="5" t="str">
        <f>IF(ISBLANK(C34),"",RANK(C34,C$2:C$367,0)+COUNTIF(C$2:C34,C34)-1)</f>
        <v/>
      </c>
    </row>
    <row r="35" spans="1:5" x14ac:dyDescent="0.3">
      <c r="A35" s="5"/>
      <c r="B35" s="5"/>
      <c r="C35" s="7"/>
      <c r="D35" s="5"/>
      <c r="E35" s="5" t="str">
        <f>IF(ISBLANK(C35),"",RANK(C35,C$2:C$367,0)+COUNTIF(C$2:C35,C35)-1)</f>
        <v/>
      </c>
    </row>
    <row r="36" spans="1:5" x14ac:dyDescent="0.3">
      <c r="A36" s="5"/>
      <c r="B36" s="5"/>
      <c r="C36" s="7"/>
      <c r="D36" s="5"/>
      <c r="E36" s="5" t="str">
        <f>IF(ISBLANK(C36),"",RANK(C36,C$2:C$367,0)+COUNTIF(C$2:C36,C36)-1)</f>
        <v/>
      </c>
    </row>
    <row r="37" spans="1:5" x14ac:dyDescent="0.3">
      <c r="A37" s="5"/>
      <c r="B37" s="5"/>
      <c r="C37" s="7"/>
      <c r="D37" s="5"/>
      <c r="E37" s="5" t="str">
        <f>IF(ISBLANK(C37),"",RANK(C37,C$2:C$367,0)+COUNTIF(C$2:C37,C37)-1)</f>
        <v/>
      </c>
    </row>
    <row r="38" spans="1:5" x14ac:dyDescent="0.3">
      <c r="A38" s="5"/>
      <c r="B38" s="5"/>
      <c r="C38" s="7"/>
      <c r="D38" s="5"/>
      <c r="E38" s="5" t="str">
        <f>IF(ISBLANK(C38),"",RANK(C38,C$2:C$367,0)+COUNTIF(C$2:C38,C38)-1)</f>
        <v/>
      </c>
    </row>
    <row r="39" spans="1:5" x14ac:dyDescent="0.3">
      <c r="A39" s="5"/>
      <c r="B39" s="5"/>
      <c r="C39" s="7"/>
      <c r="D39" s="5"/>
      <c r="E39" s="5" t="str">
        <f>IF(ISBLANK(C39),"",RANK(C39,C$2:C$367,0)+COUNTIF(C$2:C39,C39)-1)</f>
        <v/>
      </c>
    </row>
    <row r="40" spans="1:5" x14ac:dyDescent="0.3">
      <c r="A40" s="5"/>
      <c r="B40" s="5"/>
      <c r="C40" s="7"/>
      <c r="D40" s="5"/>
      <c r="E40" s="5" t="str">
        <f>IF(ISBLANK(C40),"",RANK(C40,C$2:C$367,0)+COUNTIF(C$2:C40,C40)-1)</f>
        <v/>
      </c>
    </row>
    <row r="41" spans="1:5" x14ac:dyDescent="0.3">
      <c r="A41" s="5"/>
      <c r="B41" s="5"/>
      <c r="C41" s="7"/>
      <c r="D41" s="5"/>
      <c r="E41" s="5" t="str">
        <f>IF(ISBLANK(C41),"",RANK(C41,C$2:C$367,0)+COUNTIF(C$2:C41,C41)-1)</f>
        <v/>
      </c>
    </row>
    <row r="42" spans="1:5" x14ac:dyDescent="0.3">
      <c r="A42" s="5"/>
      <c r="B42" s="5"/>
      <c r="C42" s="7"/>
      <c r="D42" s="5"/>
      <c r="E42" s="5" t="str">
        <f>IF(ISBLANK(C42),"",RANK(C42,C$2:C$367,0)+COUNTIF(C$2:C42,C42)-1)</f>
        <v/>
      </c>
    </row>
    <row r="43" spans="1:5" x14ac:dyDescent="0.3">
      <c r="A43" s="5"/>
      <c r="B43" s="5"/>
      <c r="C43" s="7"/>
      <c r="D43" s="5"/>
      <c r="E43" s="5" t="str">
        <f>IF(ISBLANK(C43),"",RANK(C43,C$2:C$367,0)+COUNTIF(C$2:C43,C43)-1)</f>
        <v/>
      </c>
    </row>
    <row r="44" spans="1:5" x14ac:dyDescent="0.3">
      <c r="A44" s="5"/>
      <c r="B44" s="5"/>
      <c r="C44" s="7"/>
      <c r="D44" s="5"/>
      <c r="E44" s="5" t="str">
        <f>IF(ISBLANK(C44),"",RANK(C44,C$2:C$367,0)+COUNTIF(C$2:C44,C44)-1)</f>
        <v/>
      </c>
    </row>
    <row r="45" spans="1:5" x14ac:dyDescent="0.3">
      <c r="A45" s="5"/>
      <c r="B45" s="5"/>
      <c r="C45" s="7"/>
      <c r="D45" s="5"/>
      <c r="E45" s="5" t="str">
        <f>IF(ISBLANK(C45),"",RANK(C45,C$2:C$367,0)+COUNTIF(C$2:C45,C45)-1)</f>
        <v/>
      </c>
    </row>
    <row r="46" spans="1:5" x14ac:dyDescent="0.3">
      <c r="A46" s="5"/>
      <c r="B46" s="5"/>
      <c r="C46" s="7"/>
      <c r="D46" s="5"/>
      <c r="E46" s="5" t="str">
        <f>IF(ISBLANK(C46),"",RANK(C46,C$2:C$367,0)+COUNTIF(C$2:C46,C46)-1)</f>
        <v/>
      </c>
    </row>
    <row r="47" spans="1:5" x14ac:dyDescent="0.3">
      <c r="A47" s="5"/>
      <c r="B47" s="5"/>
      <c r="C47" s="7"/>
      <c r="D47" s="5"/>
      <c r="E47" s="5" t="str">
        <f>IF(ISBLANK(C47),"",RANK(C47,C$2:C$367,0)+COUNTIF(C$2:C47,C47)-1)</f>
        <v/>
      </c>
    </row>
    <row r="48" spans="1:5" x14ac:dyDescent="0.3">
      <c r="A48" s="5"/>
      <c r="B48" s="5"/>
      <c r="C48" s="7"/>
      <c r="D48" s="5"/>
      <c r="E48" s="5" t="str">
        <f>IF(ISBLANK(C48),"",RANK(C48,C$2:C$367,0)+COUNTIF(C$2:C48,C48)-1)</f>
        <v/>
      </c>
    </row>
    <row r="49" spans="1:5" x14ac:dyDescent="0.3">
      <c r="A49" s="5"/>
      <c r="B49" s="5"/>
      <c r="C49" s="7"/>
      <c r="D49" s="5"/>
      <c r="E49" s="5" t="str">
        <f>IF(ISBLANK(C49),"",RANK(C49,C$2:C$367,0)+COUNTIF(C$2:C49,C49)-1)</f>
        <v/>
      </c>
    </row>
    <row r="50" spans="1:5" x14ac:dyDescent="0.3">
      <c r="A50" s="5"/>
      <c r="B50" s="5"/>
      <c r="C50" s="7"/>
      <c r="D50" s="5"/>
      <c r="E50" s="5" t="str">
        <f>IF(ISBLANK(C50),"",RANK(C50,C$2:C$367,0)+COUNTIF(C$2:C50,C50)-1)</f>
        <v/>
      </c>
    </row>
    <row r="51" spans="1:5" x14ac:dyDescent="0.3">
      <c r="A51" s="5"/>
      <c r="B51" s="5"/>
      <c r="C51" s="7"/>
      <c r="D51" s="5"/>
      <c r="E51" s="5" t="str">
        <f>IF(ISBLANK(C51),"",RANK(C51,C$2:C$367,0)+COUNTIF(C$2:C51,C51)-1)</f>
        <v/>
      </c>
    </row>
    <row r="52" spans="1:5" x14ac:dyDescent="0.3">
      <c r="A52" s="5"/>
      <c r="B52" s="5"/>
      <c r="C52" s="7"/>
      <c r="D52" s="5"/>
      <c r="E52" s="5" t="str">
        <f>IF(ISBLANK(C52),"",RANK(C52,C$2:C$367,0)+COUNTIF(C$2:C52,C52)-1)</f>
        <v/>
      </c>
    </row>
    <row r="53" spans="1:5" x14ac:dyDescent="0.3">
      <c r="A53" s="5"/>
      <c r="B53" s="5"/>
      <c r="C53" s="7"/>
      <c r="D53" s="5"/>
      <c r="E53" s="5" t="str">
        <f>IF(ISBLANK(C53),"",RANK(C53,C$2:C$367,0)+COUNTIF(C$2:C53,C53)-1)</f>
        <v/>
      </c>
    </row>
    <row r="54" spans="1:5" x14ac:dyDescent="0.3">
      <c r="A54" s="5"/>
      <c r="B54" s="5"/>
      <c r="C54" s="7"/>
      <c r="D54" s="5"/>
      <c r="E54" s="5" t="str">
        <f>IF(ISBLANK(C54),"",RANK(C54,C$2:C$367,0)+COUNTIF(C$2:C54,C54)-1)</f>
        <v/>
      </c>
    </row>
    <row r="55" spans="1:5" x14ac:dyDescent="0.3">
      <c r="A55" s="5"/>
      <c r="B55" s="5"/>
      <c r="C55" s="7"/>
      <c r="D55" s="5"/>
      <c r="E55" s="5" t="str">
        <f>IF(ISBLANK(C55),"",RANK(C55,C$2:C$367,0)+COUNTIF(C$2:C55,C55)-1)</f>
        <v/>
      </c>
    </row>
    <row r="56" spans="1:5" x14ac:dyDescent="0.3">
      <c r="A56" s="5"/>
      <c r="B56" s="5"/>
      <c r="C56" s="7"/>
      <c r="D56" s="5"/>
      <c r="E56" s="5" t="str">
        <f>IF(ISBLANK(C56),"",RANK(C56,C$2:C$367,0)+COUNTIF(C$2:C56,C56)-1)</f>
        <v/>
      </c>
    </row>
    <row r="57" spans="1:5" x14ac:dyDescent="0.3">
      <c r="A57" s="5"/>
      <c r="B57" s="5"/>
      <c r="C57" s="7"/>
      <c r="D57" s="5"/>
      <c r="E57" s="5" t="str">
        <f>IF(ISBLANK(C57),"",RANK(C57,C$2:C$367,0)+COUNTIF(C$2:C57,C57)-1)</f>
        <v/>
      </c>
    </row>
    <row r="58" spans="1:5" x14ac:dyDescent="0.3">
      <c r="A58" s="5"/>
      <c r="B58" s="5"/>
      <c r="C58" s="7"/>
      <c r="D58" s="5"/>
      <c r="E58" s="5" t="str">
        <f>IF(ISBLANK(C58),"",RANK(C58,C$2:C$367,0)+COUNTIF(C$2:C58,C58)-1)</f>
        <v/>
      </c>
    </row>
    <row r="59" spans="1:5" x14ac:dyDescent="0.3">
      <c r="A59" s="5"/>
      <c r="B59" s="5"/>
      <c r="C59" s="7"/>
      <c r="D59" s="5"/>
      <c r="E59" s="5" t="str">
        <f>IF(ISBLANK(C59),"",RANK(C59,C$2:C$367,0)+COUNTIF(C$2:C59,C59)-1)</f>
        <v/>
      </c>
    </row>
    <row r="60" spans="1:5" x14ac:dyDescent="0.3">
      <c r="A60" s="5"/>
      <c r="B60" s="5"/>
      <c r="C60" s="7"/>
      <c r="D60" s="5"/>
      <c r="E60" s="5" t="str">
        <f>IF(ISBLANK(C60),"",RANK(C60,C$2:C$367,0)+COUNTIF(C$2:C60,C60)-1)</f>
        <v/>
      </c>
    </row>
    <row r="61" spans="1:5" x14ac:dyDescent="0.3">
      <c r="A61" s="5"/>
      <c r="B61" s="5"/>
      <c r="C61" s="7"/>
      <c r="D61" s="5"/>
      <c r="E61" s="5" t="str">
        <f>IF(ISBLANK(C61),"",RANK(C61,C$2:C$367,0)+COUNTIF(C$2:C61,C61)-1)</f>
        <v/>
      </c>
    </row>
    <row r="62" spans="1:5" x14ac:dyDescent="0.3">
      <c r="A62" s="5"/>
      <c r="B62" s="5"/>
      <c r="C62" s="7"/>
      <c r="D62" s="5"/>
      <c r="E62" s="5" t="str">
        <f>IF(ISBLANK(C62),"",RANK(C62,C$2:C$367,0)+COUNTIF(C$2:C62,C62)-1)</f>
        <v/>
      </c>
    </row>
    <row r="63" spans="1:5" x14ac:dyDescent="0.3">
      <c r="A63" s="5"/>
      <c r="B63" s="5"/>
      <c r="C63" s="7"/>
      <c r="D63" s="5"/>
      <c r="E63" s="5" t="str">
        <f>IF(ISBLANK(C63),"",RANK(C63,C$2:C$367,0)+COUNTIF(C$2:C63,C63)-1)</f>
        <v/>
      </c>
    </row>
    <row r="64" spans="1:5" x14ac:dyDescent="0.3">
      <c r="A64" s="5"/>
      <c r="B64" s="5"/>
      <c r="C64" s="7"/>
      <c r="D64" s="5"/>
      <c r="E64" s="5" t="str">
        <f>IF(ISBLANK(C64),"",RANK(C64,C$2:C$367,0)+COUNTIF(C$2:C64,C64)-1)</f>
        <v/>
      </c>
    </row>
    <row r="65" spans="1:5" x14ac:dyDescent="0.3">
      <c r="A65" s="5"/>
      <c r="B65" s="5"/>
      <c r="C65" s="7"/>
      <c r="D65" s="5"/>
      <c r="E65" s="5" t="str">
        <f>IF(ISBLANK(C65),"",RANK(C65,C$2:C$367,0)+COUNTIF(C$2:C65,C65)-1)</f>
        <v/>
      </c>
    </row>
    <row r="66" spans="1:5" x14ac:dyDescent="0.3">
      <c r="A66" s="5"/>
      <c r="B66" s="5"/>
      <c r="C66" s="7"/>
      <c r="D66" s="5"/>
      <c r="E66" s="5" t="str">
        <f>IF(ISBLANK(C66),"",RANK(C66,C$2:C$367,0)+COUNTIF(C$2:C66,C66)-1)</f>
        <v/>
      </c>
    </row>
    <row r="67" spans="1:5" x14ac:dyDescent="0.3">
      <c r="A67" s="5"/>
      <c r="B67" s="5"/>
      <c r="C67" s="7"/>
      <c r="D67" s="5"/>
      <c r="E67" s="5" t="str">
        <f>IF(ISBLANK(C67),"",RANK(C67,C$2:C$367,0)+COUNTIF(C$2:C67,C67)-1)</f>
        <v/>
      </c>
    </row>
    <row r="68" spans="1:5" x14ac:dyDescent="0.3">
      <c r="A68" s="5"/>
      <c r="B68" s="5"/>
      <c r="C68" s="7"/>
      <c r="D68" s="5"/>
      <c r="E68" s="5" t="str">
        <f>IF(ISBLANK(C68),"",RANK(C68,C$2:C$367,0)+COUNTIF(C$2:C68,C68)-1)</f>
        <v/>
      </c>
    </row>
    <row r="69" spans="1:5" x14ac:dyDescent="0.3">
      <c r="A69" s="5"/>
      <c r="B69" s="5"/>
      <c r="C69" s="7"/>
      <c r="D69" s="5"/>
      <c r="E69" s="5" t="str">
        <f>IF(ISBLANK(C69),"",RANK(C69,C$2:C$367,0)+COUNTIF(C$2:C69,C69)-1)</f>
        <v/>
      </c>
    </row>
    <row r="70" spans="1:5" x14ac:dyDescent="0.3">
      <c r="A70" s="5"/>
      <c r="B70" s="5"/>
      <c r="C70" s="7"/>
      <c r="D70" s="5"/>
      <c r="E70" s="5" t="str">
        <f>IF(ISBLANK(C70),"",RANK(C70,C$2:C$367,0)+COUNTIF(C$2:C70,C70)-1)</f>
        <v/>
      </c>
    </row>
    <row r="71" spans="1:5" x14ac:dyDescent="0.3">
      <c r="A71" s="5"/>
      <c r="B71" s="5"/>
      <c r="C71" s="7"/>
      <c r="D71" s="5"/>
      <c r="E71" s="5" t="str">
        <f>IF(ISBLANK(C71),"",RANK(C71,C$2:C$367,0)+COUNTIF(C$2:C71,C71)-1)</f>
        <v/>
      </c>
    </row>
    <row r="72" spans="1:5" x14ac:dyDescent="0.3">
      <c r="A72" s="5"/>
      <c r="B72" s="5"/>
      <c r="C72" s="7"/>
      <c r="D72" s="5"/>
      <c r="E72" s="5" t="str">
        <f>IF(ISBLANK(C72),"",RANK(C72,C$2:C$367,0)+COUNTIF(C$2:C72,C72)-1)</f>
        <v/>
      </c>
    </row>
    <row r="73" spans="1:5" x14ac:dyDescent="0.3">
      <c r="A73" s="5"/>
      <c r="B73" s="5"/>
      <c r="C73" s="7"/>
      <c r="D73" s="5"/>
      <c r="E73" s="5" t="str">
        <f>IF(ISBLANK(C73),"",RANK(C73,C$2:C$367,0)+COUNTIF(C$2:C73,C73)-1)</f>
        <v/>
      </c>
    </row>
    <row r="74" spans="1:5" x14ac:dyDescent="0.3">
      <c r="A74" s="5"/>
      <c r="B74" s="5"/>
      <c r="C74" s="7"/>
      <c r="D74" s="5"/>
      <c r="E74" s="5" t="str">
        <f>IF(ISBLANK(C74),"",RANK(C74,C$2:C$367,0)+COUNTIF(C$2:C74,C74)-1)</f>
        <v/>
      </c>
    </row>
    <row r="75" spans="1:5" x14ac:dyDescent="0.3">
      <c r="A75" s="5"/>
      <c r="B75" s="5"/>
      <c r="C75" s="7"/>
      <c r="D75" s="5"/>
      <c r="E75" s="5" t="str">
        <f>IF(ISBLANK(C75),"",RANK(C75,C$2:C$367,0)+COUNTIF(C$2:C75,C75)-1)</f>
        <v/>
      </c>
    </row>
    <row r="76" spans="1:5" x14ac:dyDescent="0.3">
      <c r="A76" s="5"/>
      <c r="B76" s="5"/>
      <c r="C76" s="7"/>
      <c r="D76" s="5"/>
      <c r="E76" s="5" t="str">
        <f>IF(ISBLANK(C76),"",RANK(C76,C$2:C$367,0)+COUNTIF(C$2:C76,C76)-1)</f>
        <v/>
      </c>
    </row>
    <row r="77" spans="1:5" x14ac:dyDescent="0.3">
      <c r="A77" s="5"/>
      <c r="B77" s="5"/>
      <c r="C77" s="7"/>
      <c r="D77" s="5"/>
      <c r="E77" s="5" t="str">
        <f>IF(ISBLANK(C77),"",RANK(C77,C$2:C$367,0)+COUNTIF(C$2:C77,C77)-1)</f>
        <v/>
      </c>
    </row>
    <row r="78" spans="1:5" x14ac:dyDescent="0.3">
      <c r="A78" s="5"/>
      <c r="B78" s="5"/>
      <c r="C78" s="7"/>
      <c r="D78" s="5"/>
      <c r="E78" s="5" t="str">
        <f>IF(ISBLANK(C78),"",RANK(C78,C$2:C$367,0)+COUNTIF(C$2:C78,C78)-1)</f>
        <v/>
      </c>
    </row>
    <row r="79" spans="1:5" x14ac:dyDescent="0.3">
      <c r="A79" s="5"/>
      <c r="B79" s="5"/>
      <c r="C79" s="7"/>
      <c r="D79" s="5"/>
      <c r="E79" s="5" t="str">
        <f>IF(ISBLANK(C79),"",RANK(C79,C$2:C$367,0)+COUNTIF(C$2:C79,C79)-1)</f>
        <v/>
      </c>
    </row>
    <row r="80" spans="1:5" x14ac:dyDescent="0.3">
      <c r="A80" s="5"/>
      <c r="B80" s="5"/>
      <c r="C80" s="7"/>
      <c r="D80" s="5"/>
      <c r="E80" s="5" t="str">
        <f>IF(ISBLANK(C80),"",RANK(C80,C$2:C$367,0)+COUNTIF(C$2:C80,C80)-1)</f>
        <v/>
      </c>
    </row>
    <row r="81" spans="1:5" x14ac:dyDescent="0.3">
      <c r="A81" s="5"/>
      <c r="B81" s="5"/>
      <c r="C81" s="7"/>
      <c r="D81" s="5"/>
      <c r="E81" s="5" t="str">
        <f>IF(ISBLANK(C81),"",RANK(C81,C$2:C$367,0)+COUNTIF(C$2:C81,C81)-1)</f>
        <v/>
      </c>
    </row>
    <row r="82" spans="1:5" x14ac:dyDescent="0.3">
      <c r="A82" s="5"/>
      <c r="B82" s="5"/>
      <c r="C82" s="7"/>
      <c r="D82" s="5"/>
      <c r="E82" s="5" t="str">
        <f>IF(ISBLANK(C82),"",RANK(C82,C$2:C$367,0)+COUNTIF(C$2:C82,C82)-1)</f>
        <v/>
      </c>
    </row>
    <row r="83" spans="1:5" x14ac:dyDescent="0.3">
      <c r="A83" s="5"/>
      <c r="B83" s="5"/>
      <c r="C83" s="7"/>
      <c r="D83" s="5"/>
      <c r="E83" s="5" t="str">
        <f>IF(ISBLANK(C83),"",RANK(C83,C$2:C$367,0)+COUNTIF(C$2:C83,C83)-1)</f>
        <v/>
      </c>
    </row>
    <row r="84" spans="1:5" x14ac:dyDescent="0.3">
      <c r="A84" s="5"/>
      <c r="B84" s="5"/>
      <c r="C84" s="7"/>
      <c r="D84" s="5"/>
      <c r="E84" s="5" t="str">
        <f>IF(ISBLANK(C84),"",RANK(C84,C$2:C$367,0)+COUNTIF(C$2:C84,C84)-1)</f>
        <v/>
      </c>
    </row>
    <row r="85" spans="1:5" x14ac:dyDescent="0.3">
      <c r="A85" s="5"/>
      <c r="B85" s="5"/>
      <c r="C85" s="7"/>
      <c r="D85" s="5"/>
      <c r="E85" s="5" t="str">
        <f>IF(ISBLANK(C85),"",RANK(C85,C$2:C$367,0)+COUNTIF(C$2:C85,C85)-1)</f>
        <v/>
      </c>
    </row>
    <row r="86" spans="1:5" x14ac:dyDescent="0.3">
      <c r="A86" s="5"/>
      <c r="B86" s="5"/>
      <c r="C86" s="7"/>
      <c r="D86" s="5"/>
      <c r="E86" s="5" t="str">
        <f>IF(ISBLANK(C86),"",RANK(C86,C$2:C$367,0)+COUNTIF(C$2:C86,C86)-1)</f>
        <v/>
      </c>
    </row>
    <row r="87" spans="1:5" x14ac:dyDescent="0.3">
      <c r="A87" s="5"/>
      <c r="B87" s="5"/>
      <c r="C87" s="7"/>
      <c r="D87" s="5"/>
      <c r="E87" s="5" t="str">
        <f>IF(ISBLANK(C87),"",RANK(C87,C$2:C$367,0)+COUNTIF(C$2:C87,C87)-1)</f>
        <v/>
      </c>
    </row>
    <row r="88" spans="1:5" x14ac:dyDescent="0.3">
      <c r="A88" s="5"/>
      <c r="B88" s="5"/>
      <c r="C88" s="7"/>
      <c r="D88" s="5"/>
      <c r="E88" s="5" t="str">
        <f>IF(ISBLANK(C88),"",RANK(C88,C$2:C$367,0)+COUNTIF(C$2:C88,C88)-1)</f>
        <v/>
      </c>
    </row>
    <row r="89" spans="1:5" x14ac:dyDescent="0.3">
      <c r="A89" s="5"/>
      <c r="B89" s="5"/>
      <c r="C89" s="7"/>
      <c r="D89" s="5"/>
      <c r="E89" s="5" t="str">
        <f>IF(ISBLANK(C89),"",RANK(C89,C$2:C$367,0)+COUNTIF(C$2:C89,C89)-1)</f>
        <v/>
      </c>
    </row>
    <row r="90" spans="1:5" x14ac:dyDescent="0.3">
      <c r="A90" s="5"/>
      <c r="B90" s="5"/>
      <c r="C90" s="7"/>
      <c r="D90" s="5"/>
      <c r="E90" s="5" t="str">
        <f>IF(ISBLANK(C90),"",RANK(C90,C$2:C$367,0)+COUNTIF(C$2:C90,C90)-1)</f>
        <v/>
      </c>
    </row>
    <row r="91" spans="1:5" x14ac:dyDescent="0.3">
      <c r="A91" s="5"/>
      <c r="B91" s="5"/>
      <c r="C91" s="7"/>
      <c r="D91" s="5"/>
      <c r="E91" s="5" t="str">
        <f>IF(ISBLANK(C91),"",RANK(C91,C$2:C$367,0)+COUNTIF(C$2:C91,C91)-1)</f>
        <v/>
      </c>
    </row>
    <row r="92" spans="1:5" x14ac:dyDescent="0.3">
      <c r="A92" s="5"/>
      <c r="B92" s="5"/>
      <c r="C92" s="7"/>
      <c r="D92" s="5"/>
      <c r="E92" s="5" t="str">
        <f>IF(ISBLANK(C92),"",RANK(C92,C$2:C$367,0)+COUNTIF(C$2:C92,C92)-1)</f>
        <v/>
      </c>
    </row>
    <row r="93" spans="1:5" x14ac:dyDescent="0.3">
      <c r="A93" s="5"/>
      <c r="B93" s="5"/>
      <c r="C93" s="7"/>
      <c r="D93" s="5"/>
      <c r="E93" s="5" t="str">
        <f>IF(ISBLANK(C93),"",RANK(C93,C$2:C$367,0)+COUNTIF(C$2:C93,C93)-1)</f>
        <v/>
      </c>
    </row>
    <row r="94" spans="1:5" x14ac:dyDescent="0.3">
      <c r="A94" s="5"/>
      <c r="B94" s="5"/>
      <c r="C94" s="7"/>
      <c r="D94" s="5"/>
      <c r="E94" s="5" t="str">
        <f>IF(ISBLANK(C94),"",RANK(C94,C$2:C$367,0)+COUNTIF(C$2:C94,C94)-1)</f>
        <v/>
      </c>
    </row>
    <row r="95" spans="1:5" x14ac:dyDescent="0.3">
      <c r="A95" s="5"/>
      <c r="B95" s="5"/>
      <c r="C95" s="7"/>
      <c r="D95" s="5"/>
      <c r="E95" s="5" t="str">
        <f>IF(ISBLANK(C95),"",RANK(C95,C$2:C$367,0)+COUNTIF(C$2:C95,C95)-1)</f>
        <v/>
      </c>
    </row>
    <row r="96" spans="1:5" x14ac:dyDescent="0.3">
      <c r="A96" s="5"/>
      <c r="B96" s="5"/>
      <c r="C96" s="7"/>
      <c r="D96" s="5"/>
      <c r="E96" s="5" t="str">
        <f>IF(ISBLANK(C96),"",RANK(C96,C$2:C$367,0)+COUNTIF(C$2:C96,C96)-1)</f>
        <v/>
      </c>
    </row>
    <row r="97" spans="1:5" x14ac:dyDescent="0.3">
      <c r="A97" s="5"/>
      <c r="B97" s="5"/>
      <c r="C97" s="7"/>
      <c r="D97" s="5"/>
      <c r="E97" s="5" t="str">
        <f>IF(ISBLANK(C97),"",RANK(C97,C$2:C$367,0)+COUNTIF(C$2:C97,C97)-1)</f>
        <v/>
      </c>
    </row>
    <row r="98" spans="1:5" x14ac:dyDescent="0.3">
      <c r="A98" s="5"/>
      <c r="B98" s="5"/>
      <c r="C98" s="7"/>
      <c r="D98" s="5"/>
      <c r="E98" s="5" t="str">
        <f>IF(ISBLANK(C98),"",RANK(C98,C$2:C$367,0)+COUNTIF(C$2:C98,C98)-1)</f>
        <v/>
      </c>
    </row>
    <row r="99" spans="1:5" x14ac:dyDescent="0.3">
      <c r="A99" s="5"/>
      <c r="B99" s="5"/>
      <c r="C99" s="7"/>
      <c r="D99" s="5"/>
      <c r="E99" s="5" t="str">
        <f>IF(ISBLANK(C99),"",RANK(C99,C$2:C$367,0)+COUNTIF(C$2:C99,C99)-1)</f>
        <v/>
      </c>
    </row>
    <row r="100" spans="1:5" x14ac:dyDescent="0.3">
      <c r="A100" s="5"/>
      <c r="B100" s="5"/>
      <c r="C100" s="7"/>
      <c r="D100" s="5"/>
      <c r="E100" s="5" t="str">
        <f>IF(ISBLANK(C100),"",RANK(C100,C$2:C$367,0)+COUNTIF(C$2:C100,C100)-1)</f>
        <v/>
      </c>
    </row>
    <row r="101" spans="1:5" x14ac:dyDescent="0.3">
      <c r="A101" s="5"/>
      <c r="B101" s="5"/>
      <c r="C101" s="7"/>
      <c r="D101" s="5"/>
      <c r="E101" s="5" t="str">
        <f>IF(ISBLANK(C101),"",RANK(C101,C$2:C$367,0)+COUNTIF(C$2:C101,C101)-1)</f>
        <v/>
      </c>
    </row>
    <row r="102" spans="1:5" x14ac:dyDescent="0.3">
      <c r="A102" s="5"/>
      <c r="B102" s="5"/>
      <c r="C102" s="7"/>
      <c r="D102" s="5"/>
      <c r="E102" s="5" t="str">
        <f>IF(ISBLANK(C102),"",RANK(C102,C$2:C$367,0)+COUNTIF(C$2:C102,C102)-1)</f>
        <v/>
      </c>
    </row>
    <row r="103" spans="1:5" x14ac:dyDescent="0.3">
      <c r="A103" s="5"/>
      <c r="B103" s="5"/>
      <c r="C103" s="7"/>
      <c r="D103" s="5"/>
      <c r="E103" s="5" t="str">
        <f>IF(ISBLANK(C103),"",RANK(C103,C$2:C$367,0)+COUNTIF(C$2:C103,C103)-1)</f>
        <v/>
      </c>
    </row>
    <row r="104" spans="1:5" x14ac:dyDescent="0.3">
      <c r="A104" s="5"/>
      <c r="B104" s="5"/>
      <c r="C104" s="7"/>
      <c r="D104" s="5"/>
      <c r="E104" s="5" t="str">
        <f>IF(ISBLANK(C104),"",RANK(C104,C$2:C$367,0)+COUNTIF(C$2:C104,C104)-1)</f>
        <v/>
      </c>
    </row>
    <row r="105" spans="1:5" x14ac:dyDescent="0.3">
      <c r="A105" s="5"/>
      <c r="B105" s="5"/>
      <c r="C105" s="7"/>
      <c r="D105" s="5"/>
      <c r="E105" s="5" t="str">
        <f>IF(ISBLANK(C105),"",RANK(C105,C$2:C$367,0)+COUNTIF(C$2:C105,C105)-1)</f>
        <v/>
      </c>
    </row>
    <row r="106" spans="1:5" x14ac:dyDescent="0.3">
      <c r="A106" s="5"/>
      <c r="B106" s="5"/>
      <c r="C106" s="7"/>
      <c r="D106" s="5"/>
      <c r="E106" s="5" t="str">
        <f>IF(ISBLANK(C106),"",RANK(C106,C$2:C$367,0)+COUNTIF(C$2:C106,C106)-1)</f>
        <v/>
      </c>
    </row>
    <row r="107" spans="1:5" x14ac:dyDescent="0.3">
      <c r="A107" s="5"/>
      <c r="B107" s="5"/>
      <c r="C107" s="7"/>
      <c r="D107" s="5"/>
      <c r="E107" s="5" t="str">
        <f>IF(ISBLANK(C107),"",RANK(C107,C$2:C$367,0)+COUNTIF(C$2:C107,C107)-1)</f>
        <v/>
      </c>
    </row>
    <row r="108" spans="1:5" x14ac:dyDescent="0.3">
      <c r="A108" s="5"/>
      <c r="B108" s="5"/>
      <c r="C108" s="7"/>
      <c r="D108" s="5"/>
      <c r="E108" s="5" t="str">
        <f>IF(ISBLANK(C108),"",RANK(C108,C$2:C$367,0)+COUNTIF(C$2:C108,C108)-1)</f>
        <v/>
      </c>
    </row>
    <row r="109" spans="1:5" x14ac:dyDescent="0.3">
      <c r="A109" s="5"/>
      <c r="B109" s="5"/>
      <c r="C109" s="7"/>
      <c r="D109" s="5"/>
      <c r="E109" s="5" t="str">
        <f>IF(ISBLANK(C109),"",RANK(C109,C$2:C$367,0)+COUNTIF(C$2:C109,C109)-1)</f>
        <v/>
      </c>
    </row>
    <row r="110" spans="1:5" x14ac:dyDescent="0.3">
      <c r="A110" s="5"/>
      <c r="B110" s="5"/>
      <c r="C110" s="7"/>
      <c r="D110" s="5"/>
      <c r="E110" s="5" t="str">
        <f>IF(ISBLANK(C110),"",RANK(C110,C$2:C$367,0)+COUNTIF(C$2:C110,C110)-1)</f>
        <v/>
      </c>
    </row>
    <row r="111" spans="1:5" x14ac:dyDescent="0.3">
      <c r="A111" s="5"/>
      <c r="B111" s="5"/>
      <c r="C111" s="7"/>
      <c r="D111" s="5"/>
      <c r="E111" s="5" t="str">
        <f>IF(ISBLANK(C111),"",RANK(C111,C$2:C$367,0)+COUNTIF(C$2:C111,C111)-1)</f>
        <v/>
      </c>
    </row>
    <row r="112" spans="1:5" x14ac:dyDescent="0.3">
      <c r="A112" s="5"/>
      <c r="B112" s="5"/>
      <c r="C112" s="7"/>
      <c r="D112" s="5"/>
      <c r="E112" s="5" t="str">
        <f>IF(ISBLANK(C112),"",RANK(C112,C$2:C$367,0)+COUNTIF(C$2:C112,C112)-1)</f>
        <v/>
      </c>
    </row>
    <row r="113" spans="1:5" x14ac:dyDescent="0.3">
      <c r="A113" s="5"/>
      <c r="B113" s="5"/>
      <c r="C113" s="7"/>
      <c r="D113" s="5"/>
      <c r="E113" s="5" t="str">
        <f>IF(ISBLANK(C113),"",RANK(C113,C$2:C$367,0)+COUNTIF(C$2:C113,C113)-1)</f>
        <v/>
      </c>
    </row>
    <row r="114" spans="1:5" x14ac:dyDescent="0.3">
      <c r="A114" s="5"/>
      <c r="B114" s="5"/>
      <c r="C114" s="7"/>
      <c r="D114" s="5"/>
      <c r="E114" s="5" t="str">
        <f>IF(ISBLANK(C114),"",RANK(C114,C$2:C$367,0)+COUNTIF(C$2:C114,C114)-1)</f>
        <v/>
      </c>
    </row>
    <row r="115" spans="1:5" x14ac:dyDescent="0.3">
      <c r="A115" s="5"/>
      <c r="B115" s="5"/>
      <c r="C115" s="7"/>
      <c r="D115" s="5"/>
      <c r="E115" s="5" t="str">
        <f>IF(ISBLANK(C115),"",RANK(C115,C$2:C$367,0)+COUNTIF(C$2:C115,C115)-1)</f>
        <v/>
      </c>
    </row>
    <row r="116" spans="1:5" x14ac:dyDescent="0.3">
      <c r="A116" s="5"/>
      <c r="B116" s="5"/>
      <c r="C116" s="7"/>
      <c r="D116" s="5"/>
      <c r="E116" s="5" t="str">
        <f>IF(ISBLANK(C116),"",RANK(C116,C$2:C$367,0)+COUNTIF(C$2:C116,C116)-1)</f>
        <v/>
      </c>
    </row>
    <row r="117" spans="1:5" x14ac:dyDescent="0.3">
      <c r="A117" s="5"/>
      <c r="B117" s="5"/>
      <c r="C117" s="7"/>
      <c r="D117" s="5"/>
      <c r="E117" s="5" t="str">
        <f>IF(ISBLANK(C117),"",RANK(C117,C$2:C$367,0)+COUNTIF(C$2:C117,C117)-1)</f>
        <v/>
      </c>
    </row>
    <row r="118" spans="1:5" x14ac:dyDescent="0.3">
      <c r="A118" s="5"/>
      <c r="B118" s="5"/>
      <c r="C118" s="7"/>
      <c r="D118" s="5"/>
      <c r="E118" s="5" t="str">
        <f>IF(ISBLANK(C118),"",RANK(C118,C$2:C$367,0)+COUNTIF(C$2:C118,C118)-1)</f>
        <v/>
      </c>
    </row>
    <row r="119" spans="1:5" x14ac:dyDescent="0.3">
      <c r="A119" s="5"/>
      <c r="B119" s="5"/>
      <c r="C119" s="7"/>
      <c r="D119" s="5"/>
      <c r="E119" s="5" t="str">
        <f>IF(ISBLANK(C119),"",RANK(C119,C$2:C$367,0)+COUNTIF(C$2:C119,C119)-1)</f>
        <v/>
      </c>
    </row>
    <row r="120" spans="1:5" x14ac:dyDescent="0.3">
      <c r="A120" s="5"/>
      <c r="B120" s="5"/>
      <c r="C120" s="7"/>
      <c r="D120" s="5"/>
      <c r="E120" s="5" t="str">
        <f>IF(ISBLANK(C120),"",RANK(C120,C$2:C$367,0)+COUNTIF(C$2:C120,C120)-1)</f>
        <v/>
      </c>
    </row>
    <row r="121" spans="1:5" x14ac:dyDescent="0.3">
      <c r="A121" s="5"/>
      <c r="B121" s="5"/>
      <c r="C121" s="7"/>
      <c r="D121" s="5"/>
      <c r="E121" s="5" t="str">
        <f>IF(ISBLANK(C121),"",RANK(C121,C$2:C$367,0)+COUNTIF(C$2:C121,C121)-1)</f>
        <v/>
      </c>
    </row>
    <row r="122" spans="1:5" x14ac:dyDescent="0.3">
      <c r="A122" s="5"/>
      <c r="B122" s="5"/>
      <c r="C122" s="7"/>
      <c r="D122" s="5"/>
      <c r="E122" s="5" t="str">
        <f>IF(ISBLANK(C122),"",RANK(C122,C$2:C$367,0)+COUNTIF(C$2:C122,C122)-1)</f>
        <v/>
      </c>
    </row>
    <row r="123" spans="1:5" x14ac:dyDescent="0.3">
      <c r="A123" s="5"/>
      <c r="B123" s="5"/>
      <c r="C123" s="7"/>
      <c r="D123" s="5"/>
      <c r="E123" s="5" t="str">
        <f>IF(ISBLANK(C123),"",RANK(C123,C$2:C$367,0)+COUNTIF(C$2:C123,C123)-1)</f>
        <v/>
      </c>
    </row>
    <row r="124" spans="1:5" x14ac:dyDescent="0.3">
      <c r="A124" s="5"/>
      <c r="B124" s="5"/>
      <c r="C124" s="7"/>
      <c r="D124" s="5"/>
      <c r="E124" s="5" t="str">
        <f>IF(ISBLANK(C124),"",RANK(C124,C$2:C$367,0)+COUNTIF(C$2:C124,C124)-1)</f>
        <v/>
      </c>
    </row>
    <row r="125" spans="1:5" x14ac:dyDescent="0.3">
      <c r="A125" s="5"/>
      <c r="B125" s="5"/>
      <c r="C125" s="7"/>
      <c r="D125" s="5"/>
      <c r="E125" s="5" t="str">
        <f>IF(ISBLANK(C125),"",RANK(C125,C$2:C$367,0)+COUNTIF(C$2:C125,C125)-1)</f>
        <v/>
      </c>
    </row>
    <row r="126" spans="1:5" x14ac:dyDescent="0.3">
      <c r="A126" s="5"/>
      <c r="B126" s="5"/>
      <c r="C126" s="7"/>
      <c r="D126" s="5"/>
      <c r="E126" s="5" t="str">
        <f>IF(ISBLANK(C126),"",RANK(C126,C$2:C$367,0)+COUNTIF(C$2:C126,C126)-1)</f>
        <v/>
      </c>
    </row>
    <row r="127" spans="1:5" x14ac:dyDescent="0.3">
      <c r="A127" s="5"/>
      <c r="B127" s="5"/>
      <c r="C127" s="7"/>
      <c r="D127" s="5"/>
      <c r="E127" s="5" t="str">
        <f>IF(ISBLANK(C127),"",RANK(C127,C$2:C$367,0)+COUNTIF(C$2:C127,C127)-1)</f>
        <v/>
      </c>
    </row>
    <row r="128" spans="1:5" x14ac:dyDescent="0.3">
      <c r="A128" s="5"/>
      <c r="B128" s="5"/>
      <c r="C128" s="7"/>
      <c r="D128" s="5"/>
      <c r="E128" s="5" t="str">
        <f>IF(ISBLANK(C128),"",RANK(C128,C$2:C$367,0)+COUNTIF(C$2:C128,C128)-1)</f>
        <v/>
      </c>
    </row>
    <row r="129" spans="1:5" x14ac:dyDescent="0.3">
      <c r="A129" s="5"/>
      <c r="B129" s="5"/>
      <c r="C129" s="7"/>
      <c r="D129" s="5"/>
      <c r="E129" s="5" t="str">
        <f>IF(ISBLANK(C129),"",RANK(C129,C$2:C$367,0)+COUNTIF(C$2:C129,C129)-1)</f>
        <v/>
      </c>
    </row>
    <row r="130" spans="1:5" x14ac:dyDescent="0.3">
      <c r="A130" s="5"/>
      <c r="B130" s="5"/>
      <c r="C130" s="7"/>
      <c r="D130" s="5"/>
      <c r="E130" s="5" t="str">
        <f>IF(ISBLANK(C130),"",RANK(C130,C$2:C$367,0)+COUNTIF(C$2:C130,C130)-1)</f>
        <v/>
      </c>
    </row>
    <row r="131" spans="1:5" x14ac:dyDescent="0.3">
      <c r="A131" s="5"/>
      <c r="B131" s="5"/>
      <c r="C131" s="7"/>
      <c r="D131" s="5"/>
      <c r="E131" s="5" t="str">
        <f>IF(ISBLANK(C131),"",RANK(C131,C$2:C$367,0)+COUNTIF(C$2:C131,C131)-1)</f>
        <v/>
      </c>
    </row>
    <row r="132" spans="1:5" x14ac:dyDescent="0.3">
      <c r="A132" s="5"/>
      <c r="B132" s="5"/>
      <c r="C132" s="7"/>
      <c r="D132" s="5"/>
      <c r="E132" s="5" t="str">
        <f>IF(ISBLANK(C132),"",RANK(C132,C$2:C$367,0)+COUNTIF(C$2:C132,C132)-1)</f>
        <v/>
      </c>
    </row>
    <row r="133" spans="1:5" x14ac:dyDescent="0.3">
      <c r="A133" s="5"/>
      <c r="B133" s="5"/>
      <c r="C133" s="7"/>
      <c r="D133" s="5"/>
      <c r="E133" s="5" t="str">
        <f>IF(ISBLANK(C133),"",RANK(C133,C$2:C$367,0)+COUNTIF(C$2:C133,C133)-1)</f>
        <v/>
      </c>
    </row>
    <row r="134" spans="1:5" x14ac:dyDescent="0.3">
      <c r="A134" s="5"/>
      <c r="B134" s="5"/>
      <c r="C134" s="7"/>
      <c r="D134" s="5"/>
      <c r="E134" s="5" t="str">
        <f>IF(ISBLANK(C134),"",RANK(C134,C$2:C$367,0)+COUNTIF(C$2:C134,C134)-1)</f>
        <v/>
      </c>
    </row>
    <row r="135" spans="1:5" x14ac:dyDescent="0.3">
      <c r="A135" s="5"/>
      <c r="B135" s="5"/>
      <c r="C135" s="7"/>
      <c r="D135" s="5"/>
      <c r="E135" s="5" t="str">
        <f>IF(ISBLANK(C135),"",RANK(C135,C$2:C$367,0)+COUNTIF(C$2:C135,C135)-1)</f>
        <v/>
      </c>
    </row>
    <row r="136" spans="1:5" x14ac:dyDescent="0.3">
      <c r="A136" s="5"/>
      <c r="B136" s="5"/>
      <c r="C136" s="7"/>
      <c r="D136" s="5"/>
      <c r="E136" s="5" t="str">
        <f>IF(ISBLANK(C136),"",RANK(C136,C$2:C$367,0)+COUNTIF(C$2:C136,C136)-1)</f>
        <v/>
      </c>
    </row>
    <row r="137" spans="1:5" x14ac:dyDescent="0.3">
      <c r="A137" s="5"/>
      <c r="B137" s="5"/>
      <c r="C137" s="7"/>
      <c r="D137" s="5"/>
      <c r="E137" s="5" t="str">
        <f>IF(ISBLANK(C137),"",RANK(C137,C$2:C$367,0)+COUNTIF(C$2:C137,C137)-1)</f>
        <v/>
      </c>
    </row>
    <row r="138" spans="1:5" x14ac:dyDescent="0.3">
      <c r="A138" s="5"/>
      <c r="B138" s="5"/>
      <c r="C138" s="7"/>
      <c r="D138" s="5"/>
      <c r="E138" s="5" t="str">
        <f>IF(ISBLANK(C138),"",RANK(C138,C$2:C$367,0)+COUNTIF(C$2:C138,C138)-1)</f>
        <v/>
      </c>
    </row>
    <row r="139" spans="1:5" x14ac:dyDescent="0.3">
      <c r="A139" s="5"/>
      <c r="B139" s="5"/>
      <c r="C139" s="7"/>
      <c r="D139" s="5"/>
      <c r="E139" s="5" t="str">
        <f>IF(ISBLANK(C139),"",RANK(C139,C$2:C$367,0)+COUNTIF(C$2:C139,C139)-1)</f>
        <v/>
      </c>
    </row>
    <row r="140" spans="1:5" x14ac:dyDescent="0.3">
      <c r="A140" s="5"/>
      <c r="B140" s="5"/>
      <c r="C140" s="7"/>
      <c r="D140" s="5"/>
      <c r="E140" s="5" t="str">
        <f>IF(ISBLANK(C140),"",RANK(C140,C$2:C$367,0)+COUNTIF(C$2:C140,C140)-1)</f>
        <v/>
      </c>
    </row>
    <row r="141" spans="1:5" x14ac:dyDescent="0.3">
      <c r="A141" s="5"/>
      <c r="B141" s="5"/>
      <c r="C141" s="7"/>
      <c r="D141" s="5"/>
      <c r="E141" s="5" t="str">
        <f>IF(ISBLANK(C141),"",RANK(C141,C$2:C$367,0)+COUNTIF(C$2:C141,C141)-1)</f>
        <v/>
      </c>
    </row>
    <row r="142" spans="1:5" x14ac:dyDescent="0.3">
      <c r="A142" s="5"/>
      <c r="B142" s="5"/>
      <c r="C142" s="7"/>
      <c r="D142" s="5"/>
      <c r="E142" s="5" t="str">
        <f>IF(ISBLANK(C142),"",RANK(C142,C$2:C$367,0)+COUNTIF(C$2:C142,C142)-1)</f>
        <v/>
      </c>
    </row>
    <row r="143" spans="1:5" x14ac:dyDescent="0.3">
      <c r="A143" s="5"/>
      <c r="B143" s="5"/>
      <c r="C143" s="7"/>
      <c r="D143" s="5"/>
      <c r="E143" s="5" t="str">
        <f>IF(ISBLANK(C143),"",RANK(C143,C$2:C$367,0)+COUNTIF(C$2:C143,C143)-1)</f>
        <v/>
      </c>
    </row>
    <row r="144" spans="1:5" x14ac:dyDescent="0.3">
      <c r="A144" s="5"/>
      <c r="B144" s="5"/>
      <c r="C144" s="7"/>
      <c r="D144" s="5"/>
      <c r="E144" s="5" t="str">
        <f>IF(ISBLANK(C144),"",RANK(C144,C$2:C$367,0)+COUNTIF(C$2:C144,C144)-1)</f>
        <v/>
      </c>
    </row>
    <row r="145" spans="1:5" x14ac:dyDescent="0.3">
      <c r="A145" s="5"/>
      <c r="B145" s="5"/>
      <c r="C145" s="7"/>
      <c r="D145" s="5"/>
      <c r="E145" s="5" t="str">
        <f>IF(ISBLANK(C145),"",RANK(C145,C$2:C$367,0)+COUNTIF(C$2:C145,C145)-1)</f>
        <v/>
      </c>
    </row>
    <row r="146" spans="1:5" x14ac:dyDescent="0.3">
      <c r="A146" s="5"/>
      <c r="B146" s="5"/>
      <c r="C146" s="7"/>
      <c r="D146" s="5"/>
      <c r="E146" s="5" t="str">
        <f>IF(ISBLANK(C146),"",RANK(C146,C$2:C$367,0)+COUNTIF(C$2:C146,C146)-1)</f>
        <v/>
      </c>
    </row>
    <row r="147" spans="1:5" x14ac:dyDescent="0.3">
      <c r="A147" s="5"/>
      <c r="B147" s="5"/>
      <c r="C147" s="7"/>
      <c r="D147" s="5"/>
      <c r="E147" s="5" t="str">
        <f>IF(ISBLANK(C147),"",RANK(C147,C$2:C$367,0)+COUNTIF(C$2:C147,C147)-1)</f>
        <v/>
      </c>
    </row>
    <row r="148" spans="1:5" x14ac:dyDescent="0.3">
      <c r="A148" s="5"/>
      <c r="B148" s="5"/>
      <c r="C148" s="7"/>
      <c r="D148" s="5"/>
      <c r="E148" s="5" t="str">
        <f>IF(ISBLANK(C148),"",RANK(C148,C$2:C$367,0)+COUNTIF(C$2:C148,C148)-1)</f>
        <v/>
      </c>
    </row>
    <row r="149" spans="1:5" x14ac:dyDescent="0.3">
      <c r="A149" s="5"/>
      <c r="B149" s="5"/>
      <c r="C149" s="7"/>
      <c r="D149" s="5"/>
      <c r="E149" s="5" t="str">
        <f>IF(ISBLANK(C149),"",RANK(C149,C$2:C$367,0)+COUNTIF(C$2:C149,C149)-1)</f>
        <v/>
      </c>
    </row>
    <row r="150" spans="1:5" x14ac:dyDescent="0.3">
      <c r="A150" s="5"/>
      <c r="B150" s="5"/>
      <c r="C150" s="7"/>
      <c r="D150" s="5"/>
      <c r="E150" s="5" t="str">
        <f>IF(ISBLANK(C150),"",RANK(C150,C$2:C$367,0)+COUNTIF(C$2:C150,C150)-1)</f>
        <v/>
      </c>
    </row>
    <row r="151" spans="1:5" x14ac:dyDescent="0.3">
      <c r="A151" s="5"/>
      <c r="B151" s="5"/>
      <c r="C151" s="7"/>
      <c r="D151" s="5"/>
      <c r="E151" s="5" t="str">
        <f>IF(ISBLANK(C151),"",RANK(C151,C$2:C$367,0)+COUNTIF(C$2:C151,C151)-1)</f>
        <v/>
      </c>
    </row>
    <row r="152" spans="1:5" x14ac:dyDescent="0.3">
      <c r="A152" s="5"/>
      <c r="B152" s="5"/>
      <c r="C152" s="7"/>
      <c r="D152" s="5"/>
      <c r="E152" s="5" t="str">
        <f>IF(ISBLANK(C152),"",RANK(C152,C$2:C$367,0)+COUNTIF(C$2:C152,C152)-1)</f>
        <v/>
      </c>
    </row>
    <row r="153" spans="1:5" x14ac:dyDescent="0.3">
      <c r="A153" s="5"/>
      <c r="B153" s="5"/>
      <c r="C153" s="7"/>
      <c r="D153" s="5"/>
      <c r="E153" s="5" t="str">
        <f>IF(ISBLANK(C153),"",RANK(C153,C$2:C$367,0)+COUNTIF(C$2:C153,C153)-1)</f>
        <v/>
      </c>
    </row>
    <row r="154" spans="1:5" x14ac:dyDescent="0.3">
      <c r="A154" s="5"/>
      <c r="B154" s="5"/>
      <c r="C154" s="7"/>
      <c r="D154" s="5"/>
      <c r="E154" s="5" t="str">
        <f>IF(ISBLANK(C154),"",RANK(C154,C$2:C$367,0)+COUNTIF(C$2:C154,C154)-1)</f>
        <v/>
      </c>
    </row>
    <row r="155" spans="1:5" x14ac:dyDescent="0.3">
      <c r="A155" s="5"/>
      <c r="B155" s="5"/>
      <c r="C155" s="7"/>
      <c r="D155" s="5"/>
      <c r="E155" s="5" t="str">
        <f>IF(ISBLANK(C155),"",RANK(C155,C$2:C$367,0)+COUNTIF(C$2:C155,C155)-1)</f>
        <v/>
      </c>
    </row>
    <row r="156" spans="1:5" x14ac:dyDescent="0.3">
      <c r="A156" s="5"/>
      <c r="B156" s="5"/>
      <c r="C156" s="7"/>
      <c r="D156" s="5"/>
      <c r="E156" s="5" t="str">
        <f>IF(ISBLANK(C156),"",RANK(C156,C$2:C$367,0)+COUNTIF(C$2:C156,C156)-1)</f>
        <v/>
      </c>
    </row>
    <row r="157" spans="1:5" x14ac:dyDescent="0.3">
      <c r="A157" s="5"/>
      <c r="B157" s="5"/>
      <c r="C157" s="7"/>
      <c r="D157" s="5"/>
      <c r="E157" s="5" t="str">
        <f>IF(ISBLANK(C157),"",RANK(C157,C$2:C$367,0)+COUNTIF(C$2:C157,C157)-1)</f>
        <v/>
      </c>
    </row>
    <row r="158" spans="1:5" x14ac:dyDescent="0.3">
      <c r="A158" s="5"/>
      <c r="B158" s="5"/>
      <c r="C158" s="7"/>
      <c r="D158" s="5"/>
      <c r="E158" s="5" t="str">
        <f>IF(ISBLANK(C158),"",RANK(C158,C$2:C$367,0)+COUNTIF(C$2:C158,C158)-1)</f>
        <v/>
      </c>
    </row>
    <row r="159" spans="1:5" x14ac:dyDescent="0.3">
      <c r="A159" s="5"/>
      <c r="B159" s="5"/>
      <c r="C159" s="7"/>
      <c r="D159" s="5"/>
      <c r="E159" s="5" t="str">
        <f>IF(ISBLANK(C159),"",RANK(C159,C$2:C$367,0)+COUNTIF(C$2:C159,C159)-1)</f>
        <v/>
      </c>
    </row>
    <row r="160" spans="1:5" x14ac:dyDescent="0.3">
      <c r="A160" s="5"/>
      <c r="B160" s="5"/>
      <c r="C160" s="7"/>
      <c r="D160" s="5"/>
      <c r="E160" s="5" t="str">
        <f>IF(ISBLANK(C160),"",RANK(C160,C$2:C$367,0)+COUNTIF(C$2:C160,C160)-1)</f>
        <v/>
      </c>
    </row>
    <row r="161" spans="1:5" x14ac:dyDescent="0.3">
      <c r="A161" s="5"/>
      <c r="B161" s="5"/>
      <c r="C161" s="7"/>
      <c r="D161" s="5"/>
      <c r="E161" s="5" t="str">
        <f>IF(ISBLANK(C161),"",RANK(C161,C$2:C$367,0)+COUNTIF(C$2:C161,C161)-1)</f>
        <v/>
      </c>
    </row>
    <row r="162" spans="1:5" x14ac:dyDescent="0.3">
      <c r="A162" s="5"/>
      <c r="B162" s="5"/>
      <c r="C162" s="7"/>
      <c r="D162" s="5"/>
      <c r="E162" s="5" t="str">
        <f>IF(ISBLANK(C162),"",RANK(C162,C$2:C$367,0)+COUNTIF(C$2:C162,C162)-1)</f>
        <v/>
      </c>
    </row>
    <row r="163" spans="1:5" x14ac:dyDescent="0.3">
      <c r="A163" s="5"/>
      <c r="B163" s="5"/>
      <c r="C163" s="7"/>
      <c r="D163" s="5"/>
      <c r="E163" s="5" t="str">
        <f>IF(ISBLANK(C163),"",RANK(C163,C$2:C$367,0)+COUNTIF(C$2:C163,C163)-1)</f>
        <v/>
      </c>
    </row>
    <row r="164" spans="1:5" x14ac:dyDescent="0.3">
      <c r="A164" s="5"/>
      <c r="B164" s="5"/>
      <c r="C164" s="7"/>
      <c r="D164" s="5"/>
      <c r="E164" s="5" t="str">
        <f>IF(ISBLANK(C164),"",RANK(C164,C$2:C$367,0)+COUNTIF(C$2:C164,C164)-1)</f>
        <v/>
      </c>
    </row>
    <row r="165" spans="1:5" x14ac:dyDescent="0.3">
      <c r="A165" s="5"/>
      <c r="B165" s="5"/>
      <c r="C165" s="7"/>
      <c r="D165" s="5"/>
      <c r="E165" s="5" t="str">
        <f>IF(ISBLANK(C165),"",RANK(C165,C$2:C$367,0)+COUNTIF(C$2:C165,C165)-1)</f>
        <v/>
      </c>
    </row>
    <row r="166" spans="1:5" x14ac:dyDescent="0.3">
      <c r="A166" s="5"/>
      <c r="B166" s="5"/>
      <c r="C166" s="7"/>
      <c r="D166" s="5"/>
      <c r="E166" s="5" t="str">
        <f>IF(ISBLANK(C166),"",RANK(C166,C$2:C$367,0)+COUNTIF(C$2:C166,C166)-1)</f>
        <v/>
      </c>
    </row>
    <row r="167" spans="1:5" x14ac:dyDescent="0.3">
      <c r="A167" s="5"/>
      <c r="B167" s="5"/>
      <c r="C167" s="7"/>
      <c r="D167" s="5"/>
      <c r="E167" s="5" t="str">
        <f>IF(ISBLANK(C167),"",RANK(C167,C$2:C$367,0)+COUNTIF(C$2:C167,C167)-1)</f>
        <v/>
      </c>
    </row>
    <row r="168" spans="1:5" x14ac:dyDescent="0.3">
      <c r="A168" s="5"/>
      <c r="B168" s="5"/>
      <c r="C168" s="7"/>
      <c r="D168" s="5"/>
      <c r="E168" s="5" t="str">
        <f>IF(ISBLANK(C168),"",RANK(C168,C$2:C$367,0)+COUNTIF(C$2:C168,C168)-1)</f>
        <v/>
      </c>
    </row>
    <row r="169" spans="1:5" x14ac:dyDescent="0.3">
      <c r="A169" s="5"/>
      <c r="B169" s="5"/>
      <c r="C169" s="7"/>
      <c r="D169" s="5"/>
      <c r="E169" s="5" t="str">
        <f>IF(ISBLANK(C169),"",RANK(C169,C$2:C$367,0)+COUNTIF(C$2:C169,C169)-1)</f>
        <v/>
      </c>
    </row>
    <row r="170" spans="1:5" x14ac:dyDescent="0.3">
      <c r="A170" s="5"/>
      <c r="B170" s="5"/>
      <c r="C170" s="7"/>
      <c r="D170" s="5"/>
      <c r="E170" s="5" t="str">
        <f>IF(ISBLANK(C170),"",RANK(C170,C$2:C$367,0)+COUNTIF(C$2:C170,C170)-1)</f>
        <v/>
      </c>
    </row>
    <row r="171" spans="1:5" x14ac:dyDescent="0.3">
      <c r="A171" s="5"/>
      <c r="B171" s="5"/>
      <c r="C171" s="7"/>
      <c r="D171" s="5"/>
      <c r="E171" s="5" t="str">
        <f>IF(ISBLANK(C171),"",RANK(C171,C$2:C$367,0)+COUNTIF(C$2:C171,C171)-1)</f>
        <v/>
      </c>
    </row>
    <row r="172" spans="1:5" x14ac:dyDescent="0.3">
      <c r="A172" s="5"/>
      <c r="B172" s="5"/>
      <c r="C172" s="7"/>
      <c r="D172" s="5"/>
      <c r="E172" s="5" t="str">
        <f>IF(ISBLANK(C172),"",RANK(C172,C$2:C$367,0)+COUNTIF(C$2:C172,C172)-1)</f>
        <v/>
      </c>
    </row>
    <row r="173" spans="1:5" x14ac:dyDescent="0.3">
      <c r="A173" s="5"/>
      <c r="B173" s="5"/>
      <c r="C173" s="7"/>
      <c r="D173" s="5"/>
      <c r="E173" s="5" t="str">
        <f>IF(ISBLANK(C173),"",RANK(C173,C$2:C$367,0)+COUNTIF(C$2:C173,C173)-1)</f>
        <v/>
      </c>
    </row>
    <row r="174" spans="1:5" x14ac:dyDescent="0.3">
      <c r="A174" s="5"/>
      <c r="B174" s="5"/>
      <c r="C174" s="7"/>
      <c r="D174" s="5"/>
      <c r="E174" s="5" t="str">
        <f>IF(ISBLANK(C174),"",RANK(C174,C$2:C$367,0)+COUNTIF(C$2:C174,C174)-1)</f>
        <v/>
      </c>
    </row>
    <row r="175" spans="1:5" x14ac:dyDescent="0.3">
      <c r="A175" s="5"/>
      <c r="B175" s="5"/>
      <c r="C175" s="7"/>
      <c r="D175" s="5"/>
      <c r="E175" s="5" t="str">
        <f>IF(ISBLANK(C175),"",RANK(C175,C$2:C$367,0)+COUNTIF(C$2:C175,C175)-1)</f>
        <v/>
      </c>
    </row>
    <row r="176" spans="1:5" x14ac:dyDescent="0.3">
      <c r="A176" s="5"/>
      <c r="B176" s="5"/>
      <c r="C176" s="7"/>
      <c r="D176" s="5"/>
      <c r="E176" s="5" t="str">
        <f>IF(ISBLANK(C176),"",RANK(C176,C$2:C$367,0)+COUNTIF(C$2:C176,C176)-1)</f>
        <v/>
      </c>
    </row>
    <row r="177" spans="1:5" x14ac:dyDescent="0.3">
      <c r="A177" s="5"/>
      <c r="B177" s="5"/>
      <c r="C177" s="7"/>
      <c r="D177" s="5"/>
      <c r="E177" s="5" t="str">
        <f>IF(ISBLANK(C177),"",RANK(C177,C$2:C$367,0)+COUNTIF(C$2:C177,C177)-1)</f>
        <v/>
      </c>
    </row>
    <row r="178" spans="1:5" x14ac:dyDescent="0.3">
      <c r="A178" s="5"/>
      <c r="B178" s="5"/>
      <c r="C178" s="7"/>
      <c r="D178" s="5"/>
      <c r="E178" s="5" t="str">
        <f>IF(ISBLANK(C178),"",RANK(C178,C$2:C$367,0)+COUNTIF(C$2:C178,C178)-1)</f>
        <v/>
      </c>
    </row>
    <row r="179" spans="1:5" x14ac:dyDescent="0.3">
      <c r="A179" s="5"/>
      <c r="B179" s="5"/>
      <c r="C179" s="7"/>
      <c r="D179" s="5"/>
      <c r="E179" s="5" t="str">
        <f>IF(ISBLANK(C179),"",RANK(C179,C$2:C$367,0)+COUNTIF(C$2:C179,C179)-1)</f>
        <v/>
      </c>
    </row>
    <row r="180" spans="1:5" x14ac:dyDescent="0.3">
      <c r="A180" s="5"/>
      <c r="B180" s="5"/>
      <c r="C180" s="7"/>
      <c r="D180" s="5"/>
      <c r="E180" s="5" t="str">
        <f>IF(ISBLANK(C180),"",RANK(C180,C$2:C$367,0)+COUNTIF(C$2:C180,C180)-1)</f>
        <v/>
      </c>
    </row>
    <row r="181" spans="1:5" x14ac:dyDescent="0.3">
      <c r="A181" s="5"/>
      <c r="B181" s="5"/>
      <c r="C181" s="7"/>
      <c r="D181" s="5"/>
      <c r="E181" s="5" t="str">
        <f>IF(ISBLANK(C181),"",RANK(C181,C$2:C$367,0)+COUNTIF(C$2:C181,C181)-1)</f>
        <v/>
      </c>
    </row>
    <row r="182" spans="1:5" x14ac:dyDescent="0.3">
      <c r="A182" s="5"/>
      <c r="B182" s="5"/>
      <c r="C182" s="7"/>
      <c r="D182" s="5"/>
      <c r="E182" s="5" t="str">
        <f>IF(ISBLANK(C182),"",RANK(C182,C$2:C$367,0)+COUNTIF(C$2:C182,C182)-1)</f>
        <v/>
      </c>
    </row>
    <row r="183" spans="1:5" x14ac:dyDescent="0.3">
      <c r="A183" s="5"/>
      <c r="B183" s="5"/>
      <c r="C183" s="7"/>
      <c r="D183" s="5"/>
      <c r="E183" s="5" t="str">
        <f>IF(ISBLANK(C183),"",RANK(C183,C$2:C$367,0)+COUNTIF(C$2:C183,C183)-1)</f>
        <v/>
      </c>
    </row>
    <row r="184" spans="1:5" x14ac:dyDescent="0.3">
      <c r="A184" s="5"/>
      <c r="B184" s="5"/>
      <c r="C184" s="7"/>
      <c r="D184" s="5"/>
      <c r="E184" s="5" t="str">
        <f>IF(ISBLANK(C184),"",RANK(C184,C$2:C$367,0)+COUNTIF(C$2:C184,C184)-1)</f>
        <v/>
      </c>
    </row>
    <row r="185" spans="1:5" x14ac:dyDescent="0.3">
      <c r="A185" s="5"/>
      <c r="B185" s="5"/>
      <c r="C185" s="7"/>
      <c r="D185" s="5"/>
      <c r="E185" s="5" t="str">
        <f>IF(ISBLANK(C185),"",RANK(C185,C$2:C$367,0)+COUNTIF(C$2:C185,C185)-1)</f>
        <v/>
      </c>
    </row>
    <row r="186" spans="1:5" x14ac:dyDescent="0.3">
      <c r="A186" s="5"/>
      <c r="B186" s="5"/>
      <c r="C186" s="7"/>
      <c r="D186" s="5"/>
      <c r="E186" s="5" t="str">
        <f>IF(ISBLANK(C186),"",RANK(C186,C$2:C$367,0)+COUNTIF(C$2:C186,C186)-1)</f>
        <v/>
      </c>
    </row>
    <row r="187" spans="1:5" x14ac:dyDescent="0.3">
      <c r="A187" s="5"/>
      <c r="B187" s="5"/>
      <c r="C187" s="7"/>
      <c r="D187" s="5"/>
      <c r="E187" s="5" t="str">
        <f>IF(ISBLANK(C187),"",RANK(C187,C$2:C$367,0)+COUNTIF(C$2:C187,C187)-1)</f>
        <v/>
      </c>
    </row>
    <row r="188" spans="1:5" x14ac:dyDescent="0.3">
      <c r="A188" s="5"/>
      <c r="B188" s="5"/>
      <c r="C188" s="7"/>
      <c r="D188" s="5"/>
      <c r="E188" s="5" t="str">
        <f>IF(ISBLANK(C188),"",RANK(C188,C$2:C$367,0)+COUNTIF(C$2:C188,C188)-1)</f>
        <v/>
      </c>
    </row>
    <row r="189" spans="1:5" x14ac:dyDescent="0.3">
      <c r="A189" s="5"/>
      <c r="B189" s="5"/>
      <c r="C189" s="7"/>
      <c r="D189" s="5"/>
      <c r="E189" s="5" t="str">
        <f>IF(ISBLANK(C189),"",RANK(C189,C$2:C$367,0)+COUNTIF(C$2:C189,C189)-1)</f>
        <v/>
      </c>
    </row>
    <row r="190" spans="1:5" x14ac:dyDescent="0.3">
      <c r="A190" s="5"/>
      <c r="B190" s="5"/>
      <c r="C190" s="7"/>
      <c r="D190" s="5"/>
      <c r="E190" s="5" t="str">
        <f>IF(ISBLANK(C190),"",RANK(C190,C$2:C$367,0)+COUNTIF(C$2:C190,C190)-1)</f>
        <v/>
      </c>
    </row>
    <row r="191" spans="1:5" x14ac:dyDescent="0.3">
      <c r="A191" s="5"/>
      <c r="B191" s="5"/>
      <c r="C191" s="7"/>
      <c r="D191" s="5"/>
      <c r="E191" s="5" t="str">
        <f>IF(ISBLANK(C191),"",RANK(C191,C$2:C$367,0)+COUNTIF(C$2:C191,C191)-1)</f>
        <v/>
      </c>
    </row>
    <row r="192" spans="1:5" x14ac:dyDescent="0.3">
      <c r="A192" s="5"/>
      <c r="B192" s="5"/>
      <c r="C192" s="7"/>
      <c r="D192" s="5"/>
      <c r="E192" s="5" t="str">
        <f>IF(ISBLANK(C192),"",RANK(C192,C$2:C$367,0)+COUNTIF(C$2:C192,C192)-1)</f>
        <v/>
      </c>
    </row>
    <row r="193" spans="1:5" x14ac:dyDescent="0.3">
      <c r="A193" s="5"/>
      <c r="B193" s="5"/>
      <c r="C193" s="7"/>
      <c r="D193" s="5"/>
      <c r="E193" s="5" t="str">
        <f>IF(ISBLANK(C193),"",RANK(C193,C$2:C$367,0)+COUNTIF(C$2:C193,C193)-1)</f>
        <v/>
      </c>
    </row>
    <row r="194" spans="1:5" x14ac:dyDescent="0.3">
      <c r="A194" s="5"/>
      <c r="B194" s="5"/>
      <c r="C194" s="7"/>
      <c r="D194" s="5"/>
      <c r="E194" s="5" t="str">
        <f>IF(ISBLANK(C194),"",RANK(C194,C$2:C$367,0)+COUNTIF(C$2:C194,C194)-1)</f>
        <v/>
      </c>
    </row>
    <row r="195" spans="1:5" x14ac:dyDescent="0.3">
      <c r="A195" s="5"/>
      <c r="B195" s="5"/>
      <c r="C195" s="7"/>
      <c r="D195" s="5"/>
      <c r="E195" s="5" t="str">
        <f>IF(ISBLANK(C195),"",RANK(C195,C$2:C$367,0)+COUNTIF(C$2:C195,C195)-1)</f>
        <v/>
      </c>
    </row>
    <row r="196" spans="1:5" x14ac:dyDescent="0.3">
      <c r="A196" s="5"/>
      <c r="B196" s="5"/>
      <c r="C196" s="7"/>
      <c r="D196" s="5"/>
      <c r="E196" s="5" t="str">
        <f>IF(ISBLANK(C196),"",RANK(C196,C$2:C$367,0)+COUNTIF(C$2:C196,C196)-1)</f>
        <v/>
      </c>
    </row>
    <row r="197" spans="1:5" x14ac:dyDescent="0.3">
      <c r="A197" s="5"/>
      <c r="B197" s="5"/>
      <c r="C197" s="7"/>
      <c r="D197" s="5"/>
      <c r="E197" s="5" t="str">
        <f>IF(ISBLANK(C197),"",RANK(C197,C$2:C$367,0)+COUNTIF(C$2:C197,C197)-1)</f>
        <v/>
      </c>
    </row>
    <row r="198" spans="1:5" x14ac:dyDescent="0.3">
      <c r="A198" s="5"/>
      <c r="B198" s="5"/>
      <c r="C198" s="7"/>
      <c r="D198" s="5"/>
      <c r="E198" s="5" t="str">
        <f>IF(ISBLANK(C198),"",RANK(C198,C$2:C$367,0)+COUNTIF(C$2:C198,C198)-1)</f>
        <v/>
      </c>
    </row>
    <row r="199" spans="1:5" x14ac:dyDescent="0.3">
      <c r="A199" s="5"/>
      <c r="B199" s="5"/>
      <c r="C199" s="7"/>
      <c r="D199" s="5"/>
      <c r="E199" s="5" t="str">
        <f>IF(ISBLANK(C199),"",RANK(C199,C$2:C$367,0)+COUNTIF(C$2:C199,C199)-1)</f>
        <v/>
      </c>
    </row>
    <row r="200" spans="1:5" x14ac:dyDescent="0.3">
      <c r="A200" s="5"/>
      <c r="B200" s="5"/>
      <c r="C200" s="7"/>
      <c r="D200" s="5"/>
      <c r="E200" s="5" t="str">
        <f>IF(ISBLANK(C200),"",RANK(C200,C$2:C$367,0)+COUNTIF(C$2:C200,C200)-1)</f>
        <v/>
      </c>
    </row>
    <row r="201" spans="1:5" x14ac:dyDescent="0.3">
      <c r="A201" s="5"/>
      <c r="B201" s="5"/>
      <c r="C201" s="7"/>
      <c r="D201" s="5"/>
      <c r="E201" s="5" t="str">
        <f>IF(ISBLANK(C201),"",RANK(C201,C$2:C$367,0)+COUNTIF(C$2:C201,C201)-1)</f>
        <v/>
      </c>
    </row>
    <row r="202" spans="1:5" x14ac:dyDescent="0.3">
      <c r="A202" s="5"/>
      <c r="B202" s="5"/>
      <c r="C202" s="7"/>
      <c r="D202" s="5"/>
      <c r="E202" s="5" t="str">
        <f>IF(ISBLANK(C202),"",RANK(C202,C$2:C$367,0)+COUNTIF(C$2:C202,C202)-1)</f>
        <v/>
      </c>
    </row>
    <row r="203" spans="1:5" x14ac:dyDescent="0.3">
      <c r="A203" s="5"/>
      <c r="B203" s="5"/>
      <c r="C203" s="7"/>
      <c r="D203" s="5"/>
      <c r="E203" s="5" t="str">
        <f>IF(ISBLANK(C203),"",RANK(C203,C$2:C$367,0)+COUNTIF(C$2:C203,C203)-1)</f>
        <v/>
      </c>
    </row>
    <row r="204" spans="1:5" x14ac:dyDescent="0.3">
      <c r="A204" s="5"/>
      <c r="B204" s="5"/>
      <c r="C204" s="7"/>
      <c r="D204" s="5"/>
      <c r="E204" s="5" t="str">
        <f>IF(ISBLANK(C204),"",RANK(C204,C$2:C$367,0)+COUNTIF(C$2:C204,C204)-1)</f>
        <v/>
      </c>
    </row>
    <row r="205" spans="1:5" x14ac:dyDescent="0.3">
      <c r="A205" s="5"/>
      <c r="B205" s="5"/>
      <c r="C205" s="7"/>
      <c r="D205" s="5"/>
      <c r="E205" s="5" t="str">
        <f>IF(ISBLANK(C205),"",RANK(C205,C$2:C$367,0)+COUNTIF(C$2:C205,C205)-1)</f>
        <v/>
      </c>
    </row>
    <row r="206" spans="1:5" x14ac:dyDescent="0.3">
      <c r="A206" s="5"/>
      <c r="B206" s="5"/>
      <c r="C206" s="7"/>
      <c r="D206" s="5"/>
      <c r="E206" s="5" t="str">
        <f>IF(ISBLANK(C206),"",RANK(C206,C$2:C$367,0)+COUNTIF(C$2:C206,C206)-1)</f>
        <v/>
      </c>
    </row>
    <row r="207" spans="1:5" x14ac:dyDescent="0.3">
      <c r="A207" s="5"/>
      <c r="B207" s="5"/>
      <c r="C207" s="7"/>
      <c r="D207" s="5"/>
      <c r="E207" s="5" t="str">
        <f>IF(ISBLANK(C207),"",RANK(C207,C$2:C$367,0)+COUNTIF(C$2:C207,C207)-1)</f>
        <v/>
      </c>
    </row>
    <row r="208" spans="1:5" x14ac:dyDescent="0.3">
      <c r="A208" s="5"/>
      <c r="B208" s="5"/>
      <c r="C208" s="7"/>
      <c r="D208" s="5"/>
      <c r="E208" s="5" t="str">
        <f>IF(ISBLANK(C208),"",RANK(C208,C$2:C$367,0)+COUNTIF(C$2:C208,C208)-1)</f>
        <v/>
      </c>
    </row>
    <row r="209" spans="1:5" x14ac:dyDescent="0.3">
      <c r="A209" s="5"/>
      <c r="B209" s="5"/>
      <c r="C209" s="7"/>
      <c r="D209" s="5"/>
      <c r="E209" s="5" t="str">
        <f>IF(ISBLANK(C209),"",RANK(C209,C$2:C$367,0)+COUNTIF(C$2:C209,C209)-1)</f>
        <v/>
      </c>
    </row>
    <row r="210" spans="1:5" x14ac:dyDescent="0.3">
      <c r="A210" s="5"/>
      <c r="B210" s="5"/>
      <c r="C210" s="7"/>
      <c r="D210" s="5"/>
      <c r="E210" s="5" t="str">
        <f>IF(ISBLANK(C210),"",RANK(C210,C$2:C$367,0)+COUNTIF(C$2:C210,C210)-1)</f>
        <v/>
      </c>
    </row>
    <row r="211" spans="1:5" x14ac:dyDescent="0.3">
      <c r="A211" s="5"/>
      <c r="B211" s="5"/>
      <c r="C211" s="7"/>
      <c r="D211" s="5"/>
      <c r="E211" s="5" t="str">
        <f>IF(ISBLANK(C211),"",RANK(C211,C$2:C$367,0)+COUNTIF(C$2:C211,C211)-1)</f>
        <v/>
      </c>
    </row>
    <row r="212" spans="1:5" x14ac:dyDescent="0.3">
      <c r="A212" s="5"/>
      <c r="B212" s="5"/>
      <c r="C212" s="7"/>
      <c r="D212" s="5"/>
      <c r="E212" s="5" t="str">
        <f>IF(ISBLANK(C212),"",RANK(C212,C$2:C$367,0)+COUNTIF(C$2:C212,C212)-1)</f>
        <v/>
      </c>
    </row>
    <row r="213" spans="1:5" x14ac:dyDescent="0.3">
      <c r="A213" s="5"/>
      <c r="B213" s="5"/>
      <c r="C213" s="7"/>
      <c r="D213" s="5"/>
      <c r="E213" s="5" t="str">
        <f>IF(ISBLANK(C213),"",RANK(C213,C$2:C$367,0)+COUNTIF(C$2:C213,C213)-1)</f>
        <v/>
      </c>
    </row>
    <row r="214" spans="1:5" x14ac:dyDescent="0.3">
      <c r="A214" s="5"/>
      <c r="B214" s="5"/>
      <c r="C214" s="7"/>
      <c r="D214" s="5"/>
      <c r="E214" s="5" t="str">
        <f>IF(ISBLANK(C214),"",RANK(C214,C$2:C$367,0)+COUNTIF(C$2:C214,C214)-1)</f>
        <v/>
      </c>
    </row>
    <row r="215" spans="1:5" x14ac:dyDescent="0.3">
      <c r="A215" s="5"/>
      <c r="B215" s="5"/>
      <c r="C215" s="7"/>
      <c r="D215" s="5"/>
      <c r="E215" s="5" t="str">
        <f>IF(ISBLANK(C215),"",RANK(C215,C$2:C$367,0)+COUNTIF(C$2:C215,C215)-1)</f>
        <v/>
      </c>
    </row>
    <row r="216" spans="1:5" x14ac:dyDescent="0.3">
      <c r="A216" s="5"/>
      <c r="B216" s="5"/>
      <c r="C216" s="7"/>
      <c r="D216" s="5"/>
      <c r="E216" s="5" t="str">
        <f>IF(ISBLANK(C216),"",RANK(C216,C$2:C$367,0)+COUNTIF(C$2:C216,C216)-1)</f>
        <v/>
      </c>
    </row>
    <row r="217" spans="1:5" x14ac:dyDescent="0.3">
      <c r="A217" s="5"/>
      <c r="B217" s="5"/>
      <c r="C217" s="7"/>
      <c r="D217" s="5"/>
      <c r="E217" s="5" t="str">
        <f>IF(ISBLANK(C217),"",RANK(C217,C$2:C$367,0)+COUNTIF(C$2:C217,C217)-1)</f>
        <v/>
      </c>
    </row>
    <row r="218" spans="1:5" x14ac:dyDescent="0.3">
      <c r="A218" s="5"/>
      <c r="B218" s="5"/>
      <c r="C218" s="7"/>
      <c r="D218" s="5"/>
      <c r="E218" s="5" t="str">
        <f>IF(ISBLANK(C218),"",RANK(C218,C$2:C$367,0)+COUNTIF(C$2:C218,C218)-1)</f>
        <v/>
      </c>
    </row>
    <row r="219" spans="1:5" x14ac:dyDescent="0.3">
      <c r="A219" s="5"/>
      <c r="B219" s="5"/>
      <c r="C219" s="7"/>
      <c r="D219" s="5"/>
      <c r="E219" s="5" t="str">
        <f>IF(ISBLANK(C219),"",RANK(C219,C$2:C$367,0)+COUNTIF(C$2:C219,C219)-1)</f>
        <v/>
      </c>
    </row>
    <row r="220" spans="1:5" x14ac:dyDescent="0.3">
      <c r="A220" s="5"/>
      <c r="B220" s="5"/>
      <c r="C220" s="7"/>
      <c r="D220" s="5"/>
      <c r="E220" s="5" t="str">
        <f>IF(ISBLANK(C220),"",RANK(C220,C$2:C$367,0)+COUNTIF(C$2:C220,C220)-1)</f>
        <v/>
      </c>
    </row>
    <row r="221" spans="1:5" x14ac:dyDescent="0.3">
      <c r="A221" s="5"/>
      <c r="B221" s="5"/>
      <c r="C221" s="7"/>
      <c r="D221" s="5"/>
      <c r="E221" s="5" t="str">
        <f>IF(ISBLANK(C221),"",RANK(C221,C$2:C$367,0)+COUNTIF(C$2:C221,C221)-1)</f>
        <v/>
      </c>
    </row>
    <row r="222" spans="1:5" x14ac:dyDescent="0.3">
      <c r="A222" s="5"/>
      <c r="B222" s="5"/>
      <c r="C222" s="7"/>
      <c r="D222" s="5"/>
      <c r="E222" s="5" t="str">
        <f>IF(ISBLANK(C222),"",RANK(C222,C$2:C$367,0)+COUNTIF(C$2:C222,C222)-1)</f>
        <v/>
      </c>
    </row>
    <row r="223" spans="1:5" x14ac:dyDescent="0.3">
      <c r="A223" s="5"/>
      <c r="B223" s="5"/>
      <c r="C223" s="7"/>
      <c r="D223" s="5"/>
      <c r="E223" s="5" t="str">
        <f>IF(ISBLANK(C223),"",RANK(C223,C$2:C$367,0)+COUNTIF(C$2:C223,C223)-1)</f>
        <v/>
      </c>
    </row>
    <row r="224" spans="1:5" x14ac:dyDescent="0.3">
      <c r="A224" s="5"/>
      <c r="B224" s="5"/>
      <c r="C224" s="7"/>
      <c r="D224" s="5"/>
      <c r="E224" s="5" t="str">
        <f>IF(ISBLANK(C224),"",RANK(C224,C$2:C$367,0)+COUNTIF(C$2:C224,C224)-1)</f>
        <v/>
      </c>
    </row>
    <row r="225" spans="1:5" x14ac:dyDescent="0.3">
      <c r="A225" s="5"/>
      <c r="B225" s="5"/>
      <c r="C225" s="7"/>
      <c r="D225" s="5"/>
      <c r="E225" s="5" t="str">
        <f>IF(ISBLANK(C225),"",RANK(C225,C$2:C$367,0)+COUNTIF(C$2:C225,C225)-1)</f>
        <v/>
      </c>
    </row>
    <row r="226" spans="1:5" x14ac:dyDescent="0.3">
      <c r="A226" s="5"/>
      <c r="B226" s="5"/>
      <c r="C226" s="7"/>
      <c r="D226" s="5"/>
      <c r="E226" s="5" t="str">
        <f>IF(ISBLANK(C226),"",RANK(C226,C$2:C$367,0)+COUNTIF(C$2:C226,C226)-1)</f>
        <v/>
      </c>
    </row>
    <row r="227" spans="1:5" x14ac:dyDescent="0.3">
      <c r="A227" s="5"/>
      <c r="B227" s="5"/>
      <c r="C227" s="7"/>
      <c r="D227" s="5"/>
      <c r="E227" s="5" t="str">
        <f>IF(ISBLANK(C227),"",RANK(C227,C$2:C$367,0)+COUNTIF(C$2:C227,C227)-1)</f>
        <v/>
      </c>
    </row>
    <row r="228" spans="1:5" x14ac:dyDescent="0.3">
      <c r="A228" s="5"/>
      <c r="B228" s="5"/>
      <c r="C228" s="7"/>
      <c r="D228" s="5"/>
      <c r="E228" s="5" t="str">
        <f>IF(ISBLANK(C228),"",RANK(C228,C$2:C$367,0)+COUNTIF(C$2:C228,C228)-1)</f>
        <v/>
      </c>
    </row>
    <row r="229" spans="1:5" x14ac:dyDescent="0.3">
      <c r="A229" s="5"/>
      <c r="B229" s="5"/>
      <c r="C229" s="7"/>
      <c r="D229" s="5"/>
      <c r="E229" s="5" t="str">
        <f>IF(ISBLANK(C229),"",RANK(C229,C$2:C$367,0)+COUNTIF(C$2:C229,C229)-1)</f>
        <v/>
      </c>
    </row>
    <row r="230" spans="1:5" x14ac:dyDescent="0.3">
      <c r="A230" s="5"/>
      <c r="B230" s="5"/>
      <c r="C230" s="7"/>
      <c r="D230" s="5"/>
      <c r="E230" s="5" t="str">
        <f>IF(ISBLANK(C230),"",RANK(C230,C$2:C$367,0)+COUNTIF(C$2:C230,C230)-1)</f>
        <v/>
      </c>
    </row>
    <row r="231" spans="1:5" x14ac:dyDescent="0.3">
      <c r="A231" s="5"/>
      <c r="B231" s="5"/>
      <c r="C231" s="7"/>
      <c r="D231" s="5"/>
      <c r="E231" s="5" t="str">
        <f>IF(ISBLANK(C231),"",RANK(C231,C$2:C$367,0)+COUNTIF(C$2:C231,C231)-1)</f>
        <v/>
      </c>
    </row>
    <row r="232" spans="1:5" x14ac:dyDescent="0.3">
      <c r="A232" s="5"/>
      <c r="B232" s="5"/>
      <c r="C232" s="7"/>
      <c r="D232" s="5"/>
      <c r="E232" s="5" t="str">
        <f>IF(ISBLANK(C232),"",RANK(C232,C$2:C$367,0)+COUNTIF(C$2:C232,C232)-1)</f>
        <v/>
      </c>
    </row>
    <row r="233" spans="1:5" x14ac:dyDescent="0.3">
      <c r="A233" s="5"/>
      <c r="B233" s="5"/>
      <c r="C233" s="7"/>
      <c r="D233" s="5"/>
      <c r="E233" s="5" t="str">
        <f>IF(ISBLANK(C233),"",RANK(C233,C$2:C$367,0)+COUNTIF(C$2:C233,C233)-1)</f>
        <v/>
      </c>
    </row>
    <row r="234" spans="1:5" x14ac:dyDescent="0.3">
      <c r="A234" s="5"/>
      <c r="B234" s="5"/>
      <c r="C234" s="7"/>
      <c r="D234" s="5"/>
      <c r="E234" s="5" t="str">
        <f>IF(ISBLANK(C234),"",RANK(C234,C$2:C$367,0)+COUNTIF(C$2:C234,C234)-1)</f>
        <v/>
      </c>
    </row>
    <row r="235" spans="1:5" x14ac:dyDescent="0.3">
      <c r="A235" s="5"/>
      <c r="B235" s="5"/>
      <c r="C235" s="7"/>
      <c r="D235" s="5"/>
      <c r="E235" s="5" t="str">
        <f>IF(ISBLANK(C235),"",RANK(C235,C$2:C$367,0)+COUNTIF(C$2:C235,C235)-1)</f>
        <v/>
      </c>
    </row>
    <row r="236" spans="1:5" x14ac:dyDescent="0.3">
      <c r="A236" s="5"/>
      <c r="B236" s="5"/>
      <c r="C236" s="7"/>
      <c r="D236" s="5"/>
      <c r="E236" s="5" t="str">
        <f>IF(ISBLANK(C236),"",RANK(C236,C$2:C$367,0)+COUNTIF(C$2:C236,C236)-1)</f>
        <v/>
      </c>
    </row>
    <row r="237" spans="1:5" x14ac:dyDescent="0.3">
      <c r="A237" s="5"/>
      <c r="B237" s="5"/>
      <c r="C237" s="7"/>
      <c r="D237" s="5"/>
      <c r="E237" s="5" t="str">
        <f>IF(ISBLANK(C237),"",RANK(C237,C$2:C$367,0)+COUNTIF(C$2:C237,C237)-1)</f>
        <v/>
      </c>
    </row>
    <row r="238" spans="1:5" x14ac:dyDescent="0.3">
      <c r="A238" s="5"/>
      <c r="B238" s="5"/>
      <c r="C238" s="7"/>
      <c r="D238" s="5"/>
      <c r="E238" s="5" t="str">
        <f>IF(ISBLANK(C238),"",RANK(C238,C$2:C$367,0)+COUNTIF(C$2:C238,C238)-1)</f>
        <v/>
      </c>
    </row>
    <row r="239" spans="1:5" x14ac:dyDescent="0.3">
      <c r="A239" s="5"/>
      <c r="B239" s="5"/>
      <c r="C239" s="7"/>
      <c r="D239" s="5"/>
      <c r="E239" s="5" t="str">
        <f>IF(ISBLANK(C239),"",RANK(C239,C$2:C$367,0)+COUNTIF(C$2:C239,C239)-1)</f>
        <v/>
      </c>
    </row>
    <row r="240" spans="1:5" x14ac:dyDescent="0.3">
      <c r="A240" s="5"/>
      <c r="B240" s="5"/>
      <c r="C240" s="7"/>
      <c r="D240" s="5"/>
      <c r="E240" s="5" t="str">
        <f>IF(ISBLANK(C240),"",RANK(C240,C$2:C$367,0)+COUNTIF(C$2:C240,C240)-1)</f>
        <v/>
      </c>
    </row>
    <row r="241" spans="1:5" x14ac:dyDescent="0.3">
      <c r="A241" s="5"/>
      <c r="B241" s="5"/>
      <c r="C241" s="7"/>
      <c r="D241" s="5"/>
      <c r="E241" s="5" t="str">
        <f>IF(ISBLANK(C241),"",RANK(C241,C$2:C$367,0)+COUNTIF(C$2:C241,C241)-1)</f>
        <v/>
      </c>
    </row>
    <row r="242" spans="1:5" x14ac:dyDescent="0.3">
      <c r="A242" s="5"/>
      <c r="B242" s="5"/>
      <c r="C242" s="7"/>
      <c r="D242" s="5"/>
      <c r="E242" s="5" t="str">
        <f>IF(ISBLANK(C242),"",RANK(C242,C$2:C$367,0)+COUNTIF(C$2:C242,C242)-1)</f>
        <v/>
      </c>
    </row>
    <row r="243" spans="1:5" x14ac:dyDescent="0.3">
      <c r="A243" s="5"/>
      <c r="B243" s="5"/>
      <c r="C243" s="7"/>
      <c r="D243" s="5"/>
      <c r="E243" s="5" t="str">
        <f>IF(ISBLANK(C243),"",RANK(C243,C$2:C$367,0)+COUNTIF(C$2:C243,C243)-1)</f>
        <v/>
      </c>
    </row>
    <row r="244" spans="1:5" x14ac:dyDescent="0.3">
      <c r="A244" s="5"/>
      <c r="B244" s="5"/>
      <c r="C244" s="7"/>
      <c r="D244" s="5"/>
      <c r="E244" s="5" t="str">
        <f>IF(ISBLANK(C244),"",RANK(C244,C$2:C$367,0)+COUNTIF(C$2:C244,C244)-1)</f>
        <v/>
      </c>
    </row>
    <row r="245" spans="1:5" x14ac:dyDescent="0.3">
      <c r="A245" s="5"/>
      <c r="B245" s="5"/>
      <c r="C245" s="7"/>
      <c r="D245" s="5"/>
      <c r="E245" s="5" t="str">
        <f>IF(ISBLANK(C245),"",RANK(C245,C$2:C$367,0)+COUNTIF(C$2:C245,C245)-1)</f>
        <v/>
      </c>
    </row>
    <row r="246" spans="1:5" x14ac:dyDescent="0.3">
      <c r="A246" s="5"/>
      <c r="B246" s="5"/>
      <c r="C246" s="7"/>
      <c r="D246" s="5"/>
      <c r="E246" s="5" t="str">
        <f>IF(ISBLANK(C246),"",RANK(C246,C$2:C$367,0)+COUNTIF(C$2:C246,C246)-1)</f>
        <v/>
      </c>
    </row>
    <row r="247" spans="1:5" x14ac:dyDescent="0.3">
      <c r="A247" s="5"/>
      <c r="B247" s="5"/>
      <c r="C247" s="7"/>
      <c r="D247" s="5"/>
      <c r="E247" s="5" t="str">
        <f>IF(ISBLANK(C247),"",RANK(C247,C$2:C$367,0)+COUNTIF(C$2:C247,C247)-1)</f>
        <v/>
      </c>
    </row>
    <row r="248" spans="1:5" x14ac:dyDescent="0.3">
      <c r="A248" s="5"/>
      <c r="B248" s="5"/>
      <c r="C248" s="7"/>
      <c r="D248" s="5"/>
      <c r="E248" s="5" t="str">
        <f>IF(ISBLANK(C248),"",RANK(C248,C$2:C$367,0)+COUNTIF(C$2:C248,C248)-1)</f>
        <v/>
      </c>
    </row>
    <row r="249" spans="1:5" x14ac:dyDescent="0.3">
      <c r="A249" s="5"/>
      <c r="B249" s="5"/>
      <c r="C249" s="7"/>
      <c r="D249" s="5"/>
      <c r="E249" s="5" t="str">
        <f>IF(ISBLANK(C249),"",RANK(C249,C$2:C$367,0)+COUNTIF(C$2:C249,C249)-1)</f>
        <v/>
      </c>
    </row>
    <row r="250" spans="1:5" x14ac:dyDescent="0.3">
      <c r="A250" s="5"/>
      <c r="B250" s="5"/>
      <c r="C250" s="7"/>
      <c r="D250" s="5"/>
      <c r="E250" s="5" t="str">
        <f>IF(ISBLANK(C250),"",RANK(C250,C$2:C$367,0)+COUNTIF(C$2:C250,C250)-1)</f>
        <v/>
      </c>
    </row>
    <row r="251" spans="1:5" x14ac:dyDescent="0.3">
      <c r="A251" s="5"/>
      <c r="B251" s="5"/>
      <c r="C251" s="7"/>
      <c r="D251" s="5"/>
      <c r="E251" s="5" t="str">
        <f>IF(ISBLANK(C251),"",RANK(C251,C$2:C$367,0)+COUNTIF(C$2:C251,C251)-1)</f>
        <v/>
      </c>
    </row>
    <row r="252" spans="1:5" x14ac:dyDescent="0.3">
      <c r="A252" s="5"/>
      <c r="B252" s="5"/>
      <c r="C252" s="7"/>
      <c r="D252" s="5"/>
      <c r="E252" s="5" t="str">
        <f>IF(ISBLANK(C252),"",RANK(C252,C$2:C$367,0)+COUNTIF(C$2:C252,C252)-1)</f>
        <v/>
      </c>
    </row>
    <row r="253" spans="1:5" x14ac:dyDescent="0.3">
      <c r="A253" s="5"/>
      <c r="B253" s="5"/>
      <c r="C253" s="7"/>
      <c r="D253" s="5"/>
      <c r="E253" s="5" t="str">
        <f>IF(ISBLANK(C253),"",RANK(C253,C$2:C$367,0)+COUNTIF(C$2:C253,C253)-1)</f>
        <v/>
      </c>
    </row>
    <row r="254" spans="1:5" x14ac:dyDescent="0.3">
      <c r="A254" s="5"/>
      <c r="B254" s="5"/>
      <c r="C254" s="7"/>
      <c r="D254" s="5"/>
      <c r="E254" s="5" t="str">
        <f>IF(ISBLANK(C254),"",RANK(C254,C$2:C$367,0)+COUNTIF(C$2:C254,C254)-1)</f>
        <v/>
      </c>
    </row>
    <row r="255" spans="1:5" x14ac:dyDescent="0.3">
      <c r="A255" s="5"/>
      <c r="B255" s="5"/>
      <c r="C255" s="7"/>
      <c r="D255" s="5"/>
      <c r="E255" s="5" t="str">
        <f>IF(ISBLANK(C255),"",RANK(C255,C$2:C$367,0)+COUNTIF(C$2:C255,C255)-1)</f>
        <v/>
      </c>
    </row>
    <row r="256" spans="1:5" x14ac:dyDescent="0.3">
      <c r="A256" s="5"/>
      <c r="B256" s="5"/>
      <c r="C256" s="7"/>
      <c r="D256" s="5"/>
      <c r="E256" s="5" t="str">
        <f>IF(ISBLANK(C256),"",RANK(C256,C$2:C$367,0)+COUNTIF(C$2:C256,C256)-1)</f>
        <v/>
      </c>
    </row>
    <row r="257" spans="1:5" x14ac:dyDescent="0.3">
      <c r="A257" s="5"/>
      <c r="B257" s="5"/>
      <c r="C257" s="7"/>
      <c r="D257" s="5"/>
      <c r="E257" s="5" t="str">
        <f>IF(ISBLANK(C257),"",RANK(C257,C$2:C$367,0)+COUNTIF(C$2:C257,C257)-1)</f>
        <v/>
      </c>
    </row>
    <row r="258" spans="1:5" x14ac:dyDescent="0.3">
      <c r="A258" s="5"/>
      <c r="B258" s="5"/>
      <c r="C258" s="7"/>
      <c r="D258" s="5"/>
      <c r="E258" s="5" t="str">
        <f>IF(ISBLANK(C258),"",RANK(C258,C$2:C$367,0)+COUNTIF(C$2:C258,C258)-1)</f>
        <v/>
      </c>
    </row>
    <row r="259" spans="1:5" x14ac:dyDescent="0.3">
      <c r="A259" s="5"/>
      <c r="B259" s="5"/>
      <c r="C259" s="7"/>
      <c r="D259" s="5"/>
      <c r="E259" s="5" t="str">
        <f>IF(ISBLANK(C259),"",RANK(C259,C$2:C$367,0)+COUNTIF(C$2:C259,C259)-1)</f>
        <v/>
      </c>
    </row>
    <row r="260" spans="1:5" x14ac:dyDescent="0.3">
      <c r="A260" s="5"/>
      <c r="B260" s="5"/>
      <c r="C260" s="7"/>
      <c r="D260" s="5"/>
      <c r="E260" s="5" t="str">
        <f>IF(ISBLANK(C260),"",RANK(C260,C$2:C$367,0)+COUNTIF(C$2:C260,C260)-1)</f>
        <v/>
      </c>
    </row>
    <row r="261" spans="1:5" x14ac:dyDescent="0.3">
      <c r="A261" s="5"/>
      <c r="B261" s="5"/>
      <c r="C261" s="7"/>
      <c r="D261" s="5"/>
      <c r="E261" s="5" t="str">
        <f>IF(ISBLANK(C261),"",RANK(C261,C$2:C$367,0)+COUNTIF(C$2:C261,C261)-1)</f>
        <v/>
      </c>
    </row>
    <row r="262" spans="1:5" x14ac:dyDescent="0.3">
      <c r="A262" s="5"/>
      <c r="B262" s="5"/>
      <c r="C262" s="7"/>
      <c r="D262" s="5"/>
      <c r="E262" s="5" t="str">
        <f>IF(ISBLANK(C262),"",RANK(C262,C$2:C$367,0)+COUNTIF(C$2:C262,C262)-1)</f>
        <v/>
      </c>
    </row>
    <row r="263" spans="1:5" x14ac:dyDescent="0.3">
      <c r="A263" s="5"/>
      <c r="B263" s="5"/>
      <c r="C263" s="7"/>
      <c r="D263" s="5"/>
      <c r="E263" s="5" t="str">
        <f>IF(ISBLANK(C263),"",RANK(C263,C$2:C$367,0)+COUNTIF(C$2:C263,C263)-1)</f>
        <v/>
      </c>
    </row>
    <row r="264" spans="1:5" x14ac:dyDescent="0.3">
      <c r="A264" s="5"/>
      <c r="B264" s="5"/>
      <c r="C264" s="7"/>
      <c r="D264" s="5"/>
      <c r="E264" s="5" t="str">
        <f>IF(ISBLANK(C264),"",RANK(C264,C$2:C$367,0)+COUNTIF(C$2:C264,C264)-1)</f>
        <v/>
      </c>
    </row>
    <row r="265" spans="1:5" x14ac:dyDescent="0.3">
      <c r="A265" s="5"/>
      <c r="B265" s="5"/>
      <c r="C265" s="7"/>
      <c r="D265" s="5"/>
      <c r="E265" s="5" t="str">
        <f>IF(ISBLANK(C265),"",RANK(C265,C$2:C$367,0)+COUNTIF(C$2:C265,C265)-1)</f>
        <v/>
      </c>
    </row>
    <row r="266" spans="1:5" x14ac:dyDescent="0.3">
      <c r="A266" s="5"/>
      <c r="B266" s="5"/>
      <c r="C266" s="7"/>
      <c r="D266" s="5"/>
      <c r="E266" s="5" t="str">
        <f>IF(ISBLANK(C266),"",RANK(C266,C$2:C$367,0)+COUNTIF(C$2:C266,C266)-1)</f>
        <v/>
      </c>
    </row>
    <row r="267" spans="1:5" x14ac:dyDescent="0.3">
      <c r="A267" s="5"/>
      <c r="B267" s="5"/>
      <c r="C267" s="7"/>
      <c r="D267" s="5"/>
      <c r="E267" s="5" t="str">
        <f>IF(ISBLANK(C267),"",RANK(C267,C$2:C$367,0)+COUNTIF(C$2:C267,C267)-1)</f>
        <v/>
      </c>
    </row>
    <row r="268" spans="1:5" x14ac:dyDescent="0.3">
      <c r="A268" s="5"/>
      <c r="B268" s="5"/>
      <c r="C268" s="7"/>
      <c r="D268" s="5"/>
      <c r="E268" s="5" t="str">
        <f>IF(ISBLANK(C268),"",RANK(C268,C$2:C$367,0)+COUNTIF(C$2:C268,C268)-1)</f>
        <v/>
      </c>
    </row>
    <row r="269" spans="1:5" x14ac:dyDescent="0.3">
      <c r="A269" s="5"/>
      <c r="B269" s="5"/>
      <c r="C269" s="7"/>
      <c r="D269" s="5"/>
      <c r="E269" s="5" t="str">
        <f>IF(ISBLANK(C269),"",RANK(C269,C$2:C$367,0)+COUNTIF(C$2:C269,C269)-1)</f>
        <v/>
      </c>
    </row>
    <row r="270" spans="1:5" x14ac:dyDescent="0.3">
      <c r="A270" s="5"/>
      <c r="B270" s="5"/>
      <c r="C270" s="7"/>
      <c r="D270" s="5"/>
      <c r="E270" s="5" t="str">
        <f>IF(ISBLANK(C270),"",RANK(C270,C$2:C$367,0)+COUNTIF(C$2:C270,C270)-1)</f>
        <v/>
      </c>
    </row>
    <row r="271" spans="1:5" x14ac:dyDescent="0.3">
      <c r="A271" s="5"/>
      <c r="B271" s="5"/>
      <c r="C271" s="7"/>
      <c r="D271" s="5"/>
      <c r="E271" s="5" t="str">
        <f>IF(ISBLANK(C271),"",RANK(C271,C$2:C$367,0)+COUNTIF(C$2:C271,C271)-1)</f>
        <v/>
      </c>
    </row>
    <row r="272" spans="1:5" x14ac:dyDescent="0.3">
      <c r="A272" s="5"/>
      <c r="B272" s="5"/>
      <c r="C272" s="7"/>
      <c r="D272" s="5"/>
      <c r="E272" s="5" t="str">
        <f>IF(ISBLANK(C272),"",RANK(C272,C$2:C$367,0)+COUNTIF(C$2:C272,C272)-1)</f>
        <v/>
      </c>
    </row>
    <row r="273" spans="1:5" x14ac:dyDescent="0.3">
      <c r="A273" s="5"/>
      <c r="B273" s="5"/>
      <c r="C273" s="7"/>
      <c r="D273" s="5"/>
      <c r="E273" s="5" t="str">
        <f>IF(ISBLANK(C273),"",RANK(C273,C$2:C$367,0)+COUNTIF(C$2:C273,C273)-1)</f>
        <v/>
      </c>
    </row>
    <row r="274" spans="1:5" x14ac:dyDescent="0.3">
      <c r="A274" s="5"/>
      <c r="B274" s="5"/>
      <c r="C274" s="7"/>
      <c r="D274" s="5"/>
      <c r="E274" s="5" t="str">
        <f>IF(ISBLANK(C274),"",RANK(C274,C$2:C$367,0)+COUNTIF(C$2:C274,C274)-1)</f>
        <v/>
      </c>
    </row>
    <row r="275" spans="1:5" x14ac:dyDescent="0.3">
      <c r="A275" s="5"/>
      <c r="B275" s="5"/>
      <c r="C275" s="7"/>
      <c r="D275" s="5"/>
      <c r="E275" s="5" t="str">
        <f>IF(ISBLANK(C275),"",RANK(C275,C$2:C$367,0)+COUNTIF(C$2:C275,C275)-1)</f>
        <v/>
      </c>
    </row>
    <row r="276" spans="1:5" x14ac:dyDescent="0.3">
      <c r="A276" s="5"/>
      <c r="B276" s="5"/>
      <c r="C276" s="7"/>
      <c r="D276" s="5"/>
      <c r="E276" s="5" t="str">
        <f>IF(ISBLANK(C276),"",RANK(C276,C$2:C$367,0)+COUNTIF(C$2:C276,C276)-1)</f>
        <v/>
      </c>
    </row>
    <row r="277" spans="1:5" x14ac:dyDescent="0.3">
      <c r="A277" s="5"/>
      <c r="B277" s="5"/>
      <c r="C277" s="7"/>
      <c r="D277" s="5"/>
      <c r="E277" s="5" t="str">
        <f>IF(ISBLANK(C277),"",RANK(C277,C$2:C$367,0)+COUNTIF(C$2:C277,C277)-1)</f>
        <v/>
      </c>
    </row>
    <row r="278" spans="1:5" x14ac:dyDescent="0.3">
      <c r="A278" s="5"/>
      <c r="B278" s="5"/>
      <c r="C278" s="7"/>
      <c r="D278" s="5"/>
      <c r="E278" s="5" t="str">
        <f>IF(ISBLANK(C278),"",RANK(C278,C$2:C$367,0)+COUNTIF(C$2:C278,C278)-1)</f>
        <v/>
      </c>
    </row>
    <row r="279" spans="1:5" x14ac:dyDescent="0.3">
      <c r="A279" s="5"/>
      <c r="B279" s="5"/>
      <c r="C279" s="7"/>
      <c r="D279" s="5"/>
      <c r="E279" s="5" t="str">
        <f>IF(ISBLANK(C279),"",RANK(C279,C$2:C$367,0)+COUNTIF(C$2:C279,C279)-1)</f>
        <v/>
      </c>
    </row>
    <row r="280" spans="1:5" x14ac:dyDescent="0.3">
      <c r="A280" s="5"/>
      <c r="B280" s="5"/>
      <c r="C280" s="7"/>
      <c r="D280" s="5"/>
      <c r="E280" s="5" t="str">
        <f>IF(ISBLANK(C280),"",RANK(C280,C$2:C$367,0)+COUNTIF(C$2:C280,C280)-1)</f>
        <v/>
      </c>
    </row>
    <row r="281" spans="1:5" x14ac:dyDescent="0.3">
      <c r="A281" s="5"/>
      <c r="B281" s="5"/>
      <c r="C281" s="7"/>
      <c r="D281" s="5"/>
      <c r="E281" s="5" t="str">
        <f>IF(ISBLANK(C281),"",RANK(C281,C$2:C$367,0)+COUNTIF(C$2:C281,C281)-1)</f>
        <v/>
      </c>
    </row>
    <row r="282" spans="1:5" x14ac:dyDescent="0.3">
      <c r="A282" s="5"/>
      <c r="B282" s="5"/>
      <c r="C282" s="7"/>
      <c r="D282" s="5"/>
      <c r="E282" s="5" t="str">
        <f>IF(ISBLANK(C282),"",RANK(C282,C$2:C$367,0)+COUNTIF(C$2:C282,C282)-1)</f>
        <v/>
      </c>
    </row>
    <row r="283" spans="1:5" x14ac:dyDescent="0.3">
      <c r="A283" s="5"/>
      <c r="B283" s="5"/>
      <c r="C283" s="7"/>
      <c r="D283" s="5"/>
      <c r="E283" s="5" t="str">
        <f>IF(ISBLANK(C283),"",RANK(C283,C$2:C$367,0)+COUNTIF(C$2:C283,C283)-1)</f>
        <v/>
      </c>
    </row>
    <row r="284" spans="1:5" x14ac:dyDescent="0.3">
      <c r="A284" s="5"/>
      <c r="B284" s="5"/>
      <c r="C284" s="7"/>
      <c r="D284" s="5"/>
      <c r="E284" s="5" t="str">
        <f>IF(ISBLANK(C284),"",RANK(C284,C$2:C$367,0)+COUNTIF(C$2:C284,C284)-1)</f>
        <v/>
      </c>
    </row>
    <row r="285" spans="1:5" x14ac:dyDescent="0.3">
      <c r="A285" s="5"/>
      <c r="B285" s="5"/>
      <c r="C285" s="7"/>
      <c r="D285" s="5"/>
      <c r="E285" s="5" t="str">
        <f>IF(ISBLANK(C285),"",RANK(C285,C$2:C$367,0)+COUNTIF(C$2:C285,C285)-1)</f>
        <v/>
      </c>
    </row>
    <row r="286" spans="1:5" x14ac:dyDescent="0.3">
      <c r="A286" s="5"/>
      <c r="B286" s="5"/>
      <c r="C286" s="7"/>
      <c r="D286" s="5"/>
      <c r="E286" s="5" t="str">
        <f>IF(ISBLANK(C286),"",RANK(C286,C$2:C$367,0)+COUNTIF(C$2:C286,C286)-1)</f>
        <v/>
      </c>
    </row>
    <row r="287" spans="1:5" x14ac:dyDescent="0.3">
      <c r="A287" s="5"/>
      <c r="B287" s="5"/>
      <c r="C287" s="7"/>
      <c r="D287" s="5"/>
      <c r="E287" s="5" t="str">
        <f>IF(ISBLANK(C287),"",RANK(C287,C$2:C$367,0)+COUNTIF(C$2:C287,C287)-1)</f>
        <v/>
      </c>
    </row>
    <row r="288" spans="1:5" x14ac:dyDescent="0.3">
      <c r="A288" s="5"/>
      <c r="B288" s="5"/>
      <c r="C288" s="7"/>
      <c r="D288" s="5"/>
      <c r="E288" s="5" t="str">
        <f>IF(ISBLANK(C288),"",RANK(C288,C$2:C$367,0)+COUNTIF(C$2:C288,C288)-1)</f>
        <v/>
      </c>
    </row>
    <row r="289" spans="1:5" x14ac:dyDescent="0.3">
      <c r="A289" s="5"/>
      <c r="B289" s="5"/>
      <c r="C289" s="7"/>
      <c r="D289" s="5"/>
      <c r="E289" s="5" t="str">
        <f>IF(ISBLANK(C289),"",RANK(C289,C$2:C$367,0)+COUNTIF(C$2:C289,C289)-1)</f>
        <v/>
      </c>
    </row>
    <row r="290" spans="1:5" x14ac:dyDescent="0.3">
      <c r="A290" s="5"/>
      <c r="B290" s="5"/>
      <c r="C290" s="7"/>
      <c r="D290" s="5"/>
      <c r="E290" s="5" t="str">
        <f>IF(ISBLANK(C290),"",RANK(C290,C$2:C$367,0)+COUNTIF(C$2:C290,C290)-1)</f>
        <v/>
      </c>
    </row>
    <row r="291" spans="1:5" x14ac:dyDescent="0.3">
      <c r="A291" s="5"/>
      <c r="B291" s="5"/>
      <c r="C291" s="7"/>
      <c r="D291" s="5"/>
      <c r="E291" s="5" t="str">
        <f>IF(ISBLANK(C291),"",RANK(C291,C$2:C$367,0)+COUNTIF(C$2:C291,C291)-1)</f>
        <v/>
      </c>
    </row>
    <row r="292" spans="1:5" x14ac:dyDescent="0.3">
      <c r="A292" s="5"/>
      <c r="B292" s="5"/>
      <c r="C292" s="7"/>
      <c r="D292" s="5"/>
      <c r="E292" s="5" t="str">
        <f>IF(ISBLANK(C292),"",RANK(C292,C$2:C$367,0)+COUNTIF(C$2:C292,C292)-1)</f>
        <v/>
      </c>
    </row>
    <row r="293" spans="1:5" x14ac:dyDescent="0.3">
      <c r="A293" s="5"/>
      <c r="B293" s="5"/>
      <c r="C293" s="7"/>
      <c r="D293" s="5"/>
      <c r="E293" s="5" t="str">
        <f>IF(ISBLANK(C293),"",RANK(C293,C$2:C$367,0)+COUNTIF(C$2:C293,C293)-1)</f>
        <v/>
      </c>
    </row>
    <row r="294" spans="1:5" x14ac:dyDescent="0.3">
      <c r="A294" s="5"/>
      <c r="B294" s="5"/>
      <c r="C294" s="7"/>
      <c r="D294" s="5"/>
      <c r="E294" s="5" t="str">
        <f>IF(ISBLANK(C294),"",RANK(C294,C$2:C$367,0)+COUNTIF(C$2:C294,C294)-1)</f>
        <v/>
      </c>
    </row>
    <row r="295" spans="1:5" x14ac:dyDescent="0.3">
      <c r="A295" s="5"/>
      <c r="B295" s="5"/>
      <c r="C295" s="7"/>
      <c r="D295" s="5"/>
      <c r="E295" s="5" t="str">
        <f>IF(ISBLANK(C295),"",RANK(C295,C$2:C$367,0)+COUNTIF(C$2:C295,C295)-1)</f>
        <v/>
      </c>
    </row>
    <row r="296" spans="1:5" x14ac:dyDescent="0.3">
      <c r="A296" s="5"/>
      <c r="B296" s="5"/>
      <c r="C296" s="7"/>
      <c r="D296" s="5"/>
      <c r="E296" s="5" t="str">
        <f>IF(ISBLANK(C296),"",RANK(C296,C$2:C$367,0)+COUNTIF(C$2:C296,C296)-1)</f>
        <v/>
      </c>
    </row>
    <row r="297" spans="1:5" x14ac:dyDescent="0.3">
      <c r="A297" s="5"/>
      <c r="B297" s="5"/>
      <c r="C297" s="7"/>
      <c r="D297" s="5"/>
      <c r="E297" s="5" t="str">
        <f>IF(ISBLANK(C297),"",RANK(C297,C$2:C$367,0)+COUNTIF(C$2:C297,C297)-1)</f>
        <v/>
      </c>
    </row>
    <row r="298" spans="1:5" x14ac:dyDescent="0.3">
      <c r="A298" s="5"/>
      <c r="B298" s="5"/>
      <c r="C298" s="7"/>
      <c r="D298" s="5"/>
      <c r="E298" s="5" t="str">
        <f>IF(ISBLANK(C298),"",RANK(C298,C$2:C$367,0)+COUNTIF(C$2:C298,C298)-1)</f>
        <v/>
      </c>
    </row>
    <row r="299" spans="1:5" x14ac:dyDescent="0.3">
      <c r="A299" s="5"/>
      <c r="B299" s="5"/>
      <c r="C299" s="7"/>
      <c r="D299" s="5"/>
      <c r="E299" s="5" t="str">
        <f>IF(ISBLANK(C299),"",RANK(C299,C$2:C$367,0)+COUNTIF(C$2:C299,C299)-1)</f>
        <v/>
      </c>
    </row>
    <row r="300" spans="1:5" x14ac:dyDescent="0.3">
      <c r="A300" s="5"/>
      <c r="B300" s="5"/>
      <c r="C300" s="7"/>
      <c r="D300" s="5"/>
      <c r="E300" s="5" t="str">
        <f>IF(ISBLANK(C300),"",RANK(C300,C$2:C$367,0)+COUNTIF(C$2:C300,C300)-1)</f>
        <v/>
      </c>
    </row>
    <row r="301" spans="1:5" x14ac:dyDescent="0.3">
      <c r="A301" s="5"/>
      <c r="B301" s="5"/>
      <c r="C301" s="7"/>
      <c r="D301" s="5"/>
      <c r="E301" s="5" t="str">
        <f>IF(ISBLANK(C301),"",RANK(C301,C$2:C$367,0)+COUNTIF(C$2:C301,C301)-1)</f>
        <v/>
      </c>
    </row>
    <row r="302" spans="1:5" x14ac:dyDescent="0.3">
      <c r="A302" s="5"/>
      <c r="B302" s="5"/>
      <c r="C302" s="7"/>
      <c r="D302" s="5"/>
      <c r="E302" s="5" t="str">
        <f>IF(ISBLANK(C302),"",RANK(C302,C$2:C$367,0)+COUNTIF(C$2:C302,C302)-1)</f>
        <v/>
      </c>
    </row>
    <row r="303" spans="1:5" x14ac:dyDescent="0.3">
      <c r="A303" s="5"/>
      <c r="B303" s="5"/>
      <c r="C303" s="7"/>
      <c r="D303" s="5"/>
      <c r="E303" s="5" t="str">
        <f>IF(ISBLANK(C303),"",RANK(C303,C$2:C$367,0)+COUNTIF(C$2:C303,C303)-1)</f>
        <v/>
      </c>
    </row>
    <row r="304" spans="1:5" x14ac:dyDescent="0.3">
      <c r="A304" s="5"/>
      <c r="B304" s="5"/>
      <c r="C304" s="7"/>
      <c r="D304" s="5"/>
      <c r="E304" s="5" t="str">
        <f>IF(ISBLANK(C304),"",RANK(C304,C$2:C$367,0)+COUNTIF(C$2:C304,C304)-1)</f>
        <v/>
      </c>
    </row>
    <row r="305" spans="1:5" x14ac:dyDescent="0.3">
      <c r="A305" s="5"/>
      <c r="B305" s="5"/>
      <c r="C305" s="7"/>
      <c r="D305" s="5"/>
      <c r="E305" s="5" t="str">
        <f>IF(ISBLANK(C305),"",RANK(C305,C$2:C$367,0)+COUNTIF(C$2:C305,C305)-1)</f>
        <v/>
      </c>
    </row>
    <row r="306" spans="1:5" x14ac:dyDescent="0.3">
      <c r="A306" s="5"/>
      <c r="B306" s="5"/>
      <c r="C306" s="7"/>
      <c r="D306" s="5"/>
      <c r="E306" s="5" t="str">
        <f>IF(ISBLANK(C306),"",RANK(C306,C$2:C$367,0)+COUNTIF(C$2:C306,C306)-1)</f>
        <v/>
      </c>
    </row>
    <row r="307" spans="1:5" x14ac:dyDescent="0.3">
      <c r="A307" s="5"/>
      <c r="B307" s="5"/>
      <c r="C307" s="7"/>
      <c r="D307" s="5"/>
      <c r="E307" s="5" t="str">
        <f>IF(ISBLANK(C307),"",RANK(C307,C$2:C$367,0)+COUNTIF(C$2:C307,C307)-1)</f>
        <v/>
      </c>
    </row>
    <row r="308" spans="1:5" x14ac:dyDescent="0.3">
      <c r="A308" s="5"/>
      <c r="B308" s="5"/>
      <c r="C308" s="7"/>
      <c r="D308" s="5"/>
      <c r="E308" s="5" t="str">
        <f>IF(ISBLANK(C308),"",RANK(C308,C$2:C$367,0)+COUNTIF(C$2:C308,C308)-1)</f>
        <v/>
      </c>
    </row>
    <row r="309" spans="1:5" x14ac:dyDescent="0.3">
      <c r="A309" s="5"/>
      <c r="B309" s="5"/>
      <c r="C309" s="7"/>
      <c r="D309" s="5"/>
      <c r="E309" s="5" t="str">
        <f>IF(ISBLANK(C309),"",RANK(C309,C$2:C$367,0)+COUNTIF(C$2:C309,C309)-1)</f>
        <v/>
      </c>
    </row>
    <row r="310" spans="1:5" x14ac:dyDescent="0.3">
      <c r="A310" s="5"/>
      <c r="B310" s="5"/>
      <c r="C310" s="7"/>
      <c r="D310" s="5"/>
      <c r="E310" s="5" t="str">
        <f>IF(ISBLANK(C310),"",RANK(C310,C$2:C$367,0)+COUNTIF(C$2:C310,C310)-1)</f>
        <v/>
      </c>
    </row>
    <row r="311" spans="1:5" x14ac:dyDescent="0.3">
      <c r="A311" s="5"/>
      <c r="B311" s="5"/>
      <c r="C311" s="7"/>
      <c r="D311" s="5"/>
      <c r="E311" s="5" t="str">
        <f>IF(ISBLANK(C311),"",RANK(C311,C$2:C$367,0)+COUNTIF(C$2:C311,C311)-1)</f>
        <v/>
      </c>
    </row>
    <row r="312" spans="1:5" x14ac:dyDescent="0.3">
      <c r="A312" s="5"/>
      <c r="B312" s="5"/>
      <c r="C312" s="7"/>
      <c r="D312" s="5"/>
      <c r="E312" s="5" t="str">
        <f>IF(ISBLANK(C312),"",RANK(C312,C$2:C$367,0)+COUNTIF(C$2:C312,C312)-1)</f>
        <v/>
      </c>
    </row>
    <row r="313" spans="1:5" x14ac:dyDescent="0.3">
      <c r="A313" s="5"/>
      <c r="B313" s="5"/>
      <c r="C313" s="7"/>
      <c r="D313" s="5"/>
      <c r="E313" s="5" t="str">
        <f>IF(ISBLANK(C313),"",RANK(C313,C$2:C$367,0)+COUNTIF(C$2:C313,C313)-1)</f>
        <v/>
      </c>
    </row>
    <row r="314" spans="1:5" x14ac:dyDescent="0.3">
      <c r="A314" s="5"/>
      <c r="B314" s="5"/>
      <c r="C314" s="7"/>
      <c r="D314" s="5"/>
      <c r="E314" s="5" t="str">
        <f>IF(ISBLANK(C314),"",RANK(C314,C$2:C$367,0)+COUNTIF(C$2:C314,C314)-1)</f>
        <v/>
      </c>
    </row>
    <row r="315" spans="1:5" x14ac:dyDescent="0.3">
      <c r="A315" s="5"/>
      <c r="B315" s="5"/>
      <c r="C315" s="7"/>
      <c r="D315" s="5"/>
      <c r="E315" s="5" t="str">
        <f>IF(ISBLANK(C315),"",RANK(C315,C$2:C$367,0)+COUNTIF(C$2:C315,C315)-1)</f>
        <v/>
      </c>
    </row>
    <row r="316" spans="1:5" x14ac:dyDescent="0.3">
      <c r="A316" s="5"/>
      <c r="B316" s="5"/>
      <c r="C316" s="7"/>
      <c r="D316" s="5"/>
      <c r="E316" s="5" t="str">
        <f>IF(ISBLANK(C316),"",RANK(C316,C$2:C$367,0)+COUNTIF(C$2:C316,C316)-1)</f>
        <v/>
      </c>
    </row>
    <row r="317" spans="1:5" x14ac:dyDescent="0.3">
      <c r="A317" s="5"/>
      <c r="B317" s="5"/>
      <c r="C317" s="7"/>
      <c r="D317" s="5"/>
      <c r="E317" s="5" t="str">
        <f>IF(ISBLANK(C317),"",RANK(C317,C$2:C$367,0)+COUNTIF(C$2:C317,C317)-1)</f>
        <v/>
      </c>
    </row>
    <row r="318" spans="1:5" x14ac:dyDescent="0.3">
      <c r="A318" s="5"/>
      <c r="B318" s="5"/>
      <c r="C318" s="7"/>
      <c r="D318" s="5"/>
      <c r="E318" s="5" t="str">
        <f>IF(ISBLANK(C318),"",RANK(C318,C$2:C$367,0)+COUNTIF(C$2:C318,C318)-1)</f>
        <v/>
      </c>
    </row>
    <row r="319" spans="1:5" x14ac:dyDescent="0.3">
      <c r="A319" s="5"/>
      <c r="B319" s="5"/>
      <c r="C319" s="7"/>
      <c r="D319" s="5"/>
      <c r="E319" s="5" t="str">
        <f>IF(ISBLANK(C319),"",RANK(C319,C$2:C$367,0)+COUNTIF(C$2:C319,C319)-1)</f>
        <v/>
      </c>
    </row>
    <row r="320" spans="1:5" x14ac:dyDescent="0.3">
      <c r="A320" s="5"/>
      <c r="B320" s="5"/>
      <c r="C320" s="7"/>
      <c r="D320" s="5"/>
      <c r="E320" s="5" t="str">
        <f>IF(ISBLANK(C320),"",RANK(C320,C$2:C$367,0)+COUNTIF(C$2:C320,C320)-1)</f>
        <v/>
      </c>
    </row>
    <row r="321" spans="1:5" x14ac:dyDescent="0.3">
      <c r="A321" s="5"/>
      <c r="B321" s="5"/>
      <c r="C321" s="7"/>
      <c r="D321" s="5"/>
      <c r="E321" s="5" t="str">
        <f>IF(ISBLANK(C321),"",RANK(C321,C$2:C$367,0)+COUNTIF(C$2:C321,C321)-1)</f>
        <v/>
      </c>
    </row>
    <row r="322" spans="1:5" x14ac:dyDescent="0.3">
      <c r="A322" s="5"/>
      <c r="B322" s="5"/>
      <c r="C322" s="7"/>
      <c r="D322" s="5"/>
      <c r="E322" s="5" t="str">
        <f>IF(ISBLANK(C322),"",RANK(C322,C$2:C$367,0)+COUNTIF(C$2:C322,C322)-1)</f>
        <v/>
      </c>
    </row>
    <row r="323" spans="1:5" x14ac:dyDescent="0.3">
      <c r="A323" s="5"/>
      <c r="B323" s="5"/>
      <c r="C323" s="7"/>
      <c r="D323" s="5"/>
      <c r="E323" s="5" t="str">
        <f>IF(ISBLANK(C323),"",RANK(C323,C$2:C$367,0)+COUNTIF(C$2:C323,C323)-1)</f>
        <v/>
      </c>
    </row>
    <row r="324" spans="1:5" x14ac:dyDescent="0.3">
      <c r="A324" s="5"/>
      <c r="B324" s="5"/>
      <c r="C324" s="7"/>
      <c r="D324" s="5"/>
      <c r="E324" s="5" t="str">
        <f>IF(ISBLANK(C324),"",RANK(C324,C$2:C$367,0)+COUNTIF(C$2:C324,C324)-1)</f>
        <v/>
      </c>
    </row>
    <row r="325" spans="1:5" x14ac:dyDescent="0.3">
      <c r="A325" s="5"/>
      <c r="B325" s="5"/>
      <c r="C325" s="7"/>
      <c r="D325" s="5"/>
      <c r="E325" s="5" t="str">
        <f>IF(ISBLANK(C325),"",RANK(C325,C$2:C$367,0)+COUNTIF(C$2:C325,C325)-1)</f>
        <v/>
      </c>
    </row>
    <row r="326" spans="1:5" x14ac:dyDescent="0.3">
      <c r="A326" s="5"/>
      <c r="B326" s="5"/>
      <c r="C326" s="7"/>
      <c r="D326" s="5"/>
      <c r="E326" s="5" t="str">
        <f>IF(ISBLANK(C326),"",RANK(C326,C$2:C$367,0)+COUNTIF(C$2:C326,C326)-1)</f>
        <v/>
      </c>
    </row>
    <row r="327" spans="1:5" x14ac:dyDescent="0.3">
      <c r="A327" s="5"/>
      <c r="B327" s="5"/>
      <c r="C327" s="7"/>
      <c r="D327" s="5"/>
      <c r="E327" s="5" t="str">
        <f>IF(ISBLANK(C327),"",RANK(C327,C$2:C$367,0)+COUNTIF(C$2:C327,C327)-1)</f>
        <v/>
      </c>
    </row>
    <row r="328" spans="1:5" x14ac:dyDescent="0.3">
      <c r="A328" s="5"/>
      <c r="B328" s="5"/>
      <c r="C328" s="7"/>
      <c r="D328" s="5"/>
      <c r="E328" s="5" t="str">
        <f>IF(ISBLANK(C328),"",RANK(C328,C$2:C$367,0)+COUNTIF(C$2:C328,C328)-1)</f>
        <v/>
      </c>
    </row>
    <row r="329" spans="1:5" x14ac:dyDescent="0.3">
      <c r="A329" s="5"/>
      <c r="B329" s="5"/>
      <c r="C329" s="7"/>
      <c r="D329" s="5"/>
      <c r="E329" s="5" t="str">
        <f>IF(ISBLANK(C329),"",RANK(C329,C$2:C$367,0)+COUNTIF(C$2:C329,C329)-1)</f>
        <v/>
      </c>
    </row>
    <row r="330" spans="1:5" x14ac:dyDescent="0.3">
      <c r="A330" s="5"/>
      <c r="B330" s="5"/>
      <c r="C330" s="7"/>
      <c r="D330" s="5"/>
      <c r="E330" s="5" t="str">
        <f>IF(ISBLANK(C330),"",RANK(C330,C$2:C$367,0)+COUNTIF(C$2:C330,C330)-1)</f>
        <v/>
      </c>
    </row>
    <row r="331" spans="1:5" x14ac:dyDescent="0.3">
      <c r="A331" s="5"/>
      <c r="B331" s="5"/>
      <c r="C331" s="7"/>
      <c r="D331" s="5"/>
      <c r="E331" s="5" t="str">
        <f>IF(ISBLANK(C331),"",RANK(C331,C$2:C$367,0)+COUNTIF(C$2:C331,C331)-1)</f>
        <v/>
      </c>
    </row>
    <row r="332" spans="1:5" x14ac:dyDescent="0.3">
      <c r="A332" s="5"/>
      <c r="B332" s="5"/>
      <c r="C332" s="7"/>
      <c r="D332" s="5"/>
      <c r="E332" s="5" t="str">
        <f>IF(ISBLANK(C332),"",RANK(C332,C$2:C$367,0)+COUNTIF(C$2:C332,C332)-1)</f>
        <v/>
      </c>
    </row>
    <row r="333" spans="1:5" x14ac:dyDescent="0.3">
      <c r="A333" s="5"/>
      <c r="B333" s="5"/>
      <c r="C333" s="7"/>
      <c r="D333" s="5"/>
      <c r="E333" s="5" t="str">
        <f>IF(ISBLANK(C333),"",RANK(C333,C$2:C$367,0)+COUNTIF(C$2:C333,C333)-1)</f>
        <v/>
      </c>
    </row>
    <row r="334" spans="1:5" x14ac:dyDescent="0.3">
      <c r="A334" s="5"/>
      <c r="B334" s="5"/>
      <c r="C334" s="7"/>
      <c r="D334" s="5"/>
      <c r="E334" s="5" t="str">
        <f>IF(ISBLANK(C334),"",RANK(C334,C$2:C$367,0)+COUNTIF(C$2:C334,C334)-1)</f>
        <v/>
      </c>
    </row>
    <row r="335" spans="1:5" x14ac:dyDescent="0.3">
      <c r="A335" s="5"/>
      <c r="B335" s="5"/>
      <c r="C335" s="7"/>
      <c r="D335" s="5"/>
      <c r="E335" s="5" t="str">
        <f>IF(ISBLANK(C335),"",RANK(C335,C$2:C$367,0)+COUNTIF(C$2:C335,C335)-1)</f>
        <v/>
      </c>
    </row>
    <row r="336" spans="1:5" x14ac:dyDescent="0.3">
      <c r="A336" s="5"/>
      <c r="B336" s="5"/>
      <c r="C336" s="7"/>
      <c r="D336" s="5"/>
      <c r="E336" s="5" t="str">
        <f>IF(ISBLANK(C336),"",RANK(C336,C$2:C$367,0)+COUNTIF(C$2:C336,C336)-1)</f>
        <v/>
      </c>
    </row>
    <row r="337" spans="1:5" x14ac:dyDescent="0.3">
      <c r="A337" s="5"/>
      <c r="B337" s="5"/>
      <c r="C337" s="7"/>
      <c r="D337" s="5"/>
      <c r="E337" s="5" t="str">
        <f>IF(ISBLANK(C337),"",RANK(C337,C$2:C$367,0)+COUNTIF(C$2:C337,C337)-1)</f>
        <v/>
      </c>
    </row>
    <row r="338" spans="1:5" x14ac:dyDescent="0.3">
      <c r="A338" s="5"/>
      <c r="B338" s="5"/>
      <c r="C338" s="7"/>
      <c r="D338" s="5"/>
      <c r="E338" s="5" t="str">
        <f>IF(ISBLANK(C338),"",RANK(C338,C$2:C$367,0)+COUNTIF(C$2:C338,C338)-1)</f>
        <v/>
      </c>
    </row>
    <row r="339" spans="1:5" x14ac:dyDescent="0.3">
      <c r="A339" s="5"/>
      <c r="B339" s="5"/>
      <c r="C339" s="7"/>
      <c r="D339" s="5"/>
      <c r="E339" s="5" t="str">
        <f>IF(ISBLANK(C339),"",RANK(C339,C$2:C$367,0)+COUNTIF(C$2:C339,C339)-1)</f>
        <v/>
      </c>
    </row>
    <row r="340" spans="1:5" x14ac:dyDescent="0.3">
      <c r="A340" s="5"/>
      <c r="B340" s="5"/>
      <c r="C340" s="7"/>
      <c r="D340" s="5"/>
      <c r="E340" s="5" t="str">
        <f>IF(ISBLANK(C340),"",RANK(C340,C$2:C$367,0)+COUNTIF(C$2:C340,C340)-1)</f>
        <v/>
      </c>
    </row>
    <row r="341" spans="1:5" x14ac:dyDescent="0.3">
      <c r="A341" s="5"/>
      <c r="B341" s="5"/>
      <c r="C341" s="7"/>
      <c r="D341" s="5"/>
      <c r="E341" s="5" t="str">
        <f>IF(ISBLANK(C341),"",RANK(C341,C$2:C$367,0)+COUNTIF(C$2:C341,C341)-1)</f>
        <v/>
      </c>
    </row>
    <row r="342" spans="1:5" x14ac:dyDescent="0.3">
      <c r="A342" s="5"/>
      <c r="B342" s="5"/>
      <c r="C342" s="7"/>
      <c r="D342" s="5"/>
      <c r="E342" s="5" t="str">
        <f>IF(ISBLANK(C342),"",RANK(C342,C$2:C$367,0)+COUNTIF(C$2:C342,C342)-1)</f>
        <v/>
      </c>
    </row>
    <row r="343" spans="1:5" x14ac:dyDescent="0.3">
      <c r="A343" s="5"/>
      <c r="B343" s="5"/>
      <c r="C343" s="7"/>
      <c r="D343" s="5"/>
      <c r="E343" s="5" t="str">
        <f>IF(ISBLANK(C343),"",RANK(C343,C$2:C$367,0)+COUNTIF(C$2:C343,C343)-1)</f>
        <v/>
      </c>
    </row>
    <row r="344" spans="1:5" x14ac:dyDescent="0.3">
      <c r="A344" s="5"/>
      <c r="B344" s="5"/>
      <c r="C344" s="7"/>
      <c r="D344" s="5"/>
      <c r="E344" s="5" t="str">
        <f>IF(ISBLANK(C344),"",RANK(C344,C$2:C$367,0)+COUNTIF(C$2:C344,C344)-1)</f>
        <v/>
      </c>
    </row>
    <row r="345" spans="1:5" x14ac:dyDescent="0.3">
      <c r="A345" s="5"/>
      <c r="B345" s="5"/>
      <c r="C345" s="7"/>
      <c r="D345" s="5"/>
      <c r="E345" s="5" t="str">
        <f>IF(ISBLANK(C345),"",RANK(C345,C$2:C$367,0)+COUNTIF(C$2:C345,C345)-1)</f>
        <v/>
      </c>
    </row>
    <row r="346" spans="1:5" x14ac:dyDescent="0.3">
      <c r="A346" s="5"/>
      <c r="B346" s="5"/>
      <c r="C346" s="7"/>
      <c r="D346" s="5"/>
      <c r="E346" s="5" t="str">
        <f>IF(ISBLANK(C346),"",RANK(C346,C$2:C$367,0)+COUNTIF(C$2:C346,C346)-1)</f>
        <v/>
      </c>
    </row>
    <row r="347" spans="1:5" x14ac:dyDescent="0.3">
      <c r="A347" s="5"/>
      <c r="B347" s="5"/>
      <c r="C347" s="7"/>
      <c r="D347" s="5"/>
      <c r="E347" s="5" t="str">
        <f>IF(ISBLANK(C347),"",RANK(C347,C$2:C$367,0)+COUNTIF(C$2:C347,C347)-1)</f>
        <v/>
      </c>
    </row>
    <row r="348" spans="1:5" x14ac:dyDescent="0.3">
      <c r="A348" s="5"/>
      <c r="B348" s="5"/>
      <c r="C348" s="7"/>
      <c r="D348" s="5"/>
      <c r="E348" s="5" t="str">
        <f>IF(ISBLANK(C348),"",RANK(C348,C$2:C$367,0)+COUNTIF(C$2:C348,C348)-1)</f>
        <v/>
      </c>
    </row>
    <row r="349" spans="1:5" x14ac:dyDescent="0.3">
      <c r="A349" s="5"/>
      <c r="B349" s="5"/>
      <c r="C349" s="7"/>
      <c r="D349" s="5"/>
      <c r="E349" s="5" t="str">
        <f>IF(ISBLANK(C349),"",RANK(C349,C$2:C$367,0)+COUNTIF(C$2:C349,C349)-1)</f>
        <v/>
      </c>
    </row>
    <row r="350" spans="1:5" x14ac:dyDescent="0.3">
      <c r="A350" s="5"/>
      <c r="B350" s="5"/>
      <c r="C350" s="7"/>
      <c r="D350" s="5"/>
      <c r="E350" s="5" t="str">
        <f>IF(ISBLANK(C350),"",RANK(C350,C$2:C$367,0)+COUNTIF(C$2:C350,C350)-1)</f>
        <v/>
      </c>
    </row>
    <row r="351" spans="1:5" x14ac:dyDescent="0.3">
      <c r="A351" s="5"/>
      <c r="B351" s="5"/>
      <c r="C351" s="7"/>
      <c r="D351" s="5"/>
      <c r="E351" s="5" t="str">
        <f>IF(ISBLANK(C351),"",RANK(C351,C$2:C$367,0)+COUNTIF(C$2:C351,C351)-1)</f>
        <v/>
      </c>
    </row>
    <row r="352" spans="1:5" x14ac:dyDescent="0.3">
      <c r="A352" s="5"/>
      <c r="B352" s="5"/>
      <c r="C352" s="7"/>
      <c r="D352" s="5"/>
      <c r="E352" s="5" t="str">
        <f>IF(ISBLANK(C352),"",RANK(C352,C$2:C$367,0)+COUNTIF(C$2:C352,C352)-1)</f>
        <v/>
      </c>
    </row>
    <row r="353" spans="1:5" x14ac:dyDescent="0.3">
      <c r="A353" s="5"/>
      <c r="B353" s="5"/>
      <c r="C353" s="7"/>
      <c r="D353" s="5"/>
      <c r="E353" s="5" t="str">
        <f>IF(ISBLANK(C353),"",RANK(C353,C$2:C$367,0)+COUNTIF(C$2:C353,C353)-1)</f>
        <v/>
      </c>
    </row>
    <row r="354" spans="1:5" x14ac:dyDescent="0.3">
      <c r="A354" s="5"/>
      <c r="B354" s="5"/>
      <c r="C354" s="7"/>
      <c r="D354" s="5"/>
      <c r="E354" s="5" t="str">
        <f>IF(ISBLANK(C354),"",RANK(C354,C$2:C$367,0)+COUNTIF(C$2:C354,C354)-1)</f>
        <v/>
      </c>
    </row>
    <row r="355" spans="1:5" x14ac:dyDescent="0.3">
      <c r="A355" s="5"/>
      <c r="B355" s="5"/>
      <c r="C355" s="7"/>
      <c r="D355" s="5"/>
      <c r="E355" s="5" t="str">
        <f>IF(ISBLANK(C355),"",RANK(C355,C$2:C$367,0)+COUNTIF(C$2:C355,C355)-1)</f>
        <v/>
      </c>
    </row>
    <row r="356" spans="1:5" x14ac:dyDescent="0.3">
      <c r="A356" s="5"/>
      <c r="B356" s="5"/>
      <c r="C356" s="7"/>
      <c r="D356" s="5"/>
      <c r="E356" s="5" t="str">
        <f>IF(ISBLANK(C356),"",RANK(C356,C$2:C$367,0)+COUNTIF(C$2:C356,C356)-1)</f>
        <v/>
      </c>
    </row>
    <row r="357" spans="1:5" x14ac:dyDescent="0.3">
      <c r="A357" s="5"/>
      <c r="B357" s="5"/>
      <c r="C357" s="7"/>
      <c r="D357" s="5"/>
      <c r="E357" s="5" t="str">
        <f>IF(ISBLANK(C357),"",RANK(C357,C$2:C$367,0)+COUNTIF(C$2:C357,C357)-1)</f>
        <v/>
      </c>
    </row>
    <row r="358" spans="1:5" x14ac:dyDescent="0.3">
      <c r="A358" s="5"/>
      <c r="B358" s="5"/>
      <c r="C358" s="7"/>
      <c r="D358" s="5"/>
      <c r="E358" s="5" t="str">
        <f>IF(ISBLANK(C358),"",RANK(C358,C$2:C$367,0)+COUNTIF(C$2:C358,C358)-1)</f>
        <v/>
      </c>
    </row>
    <row r="359" spans="1:5" x14ac:dyDescent="0.3">
      <c r="A359" s="5"/>
      <c r="B359" s="5"/>
      <c r="C359" s="7"/>
      <c r="D359" s="5"/>
      <c r="E359" s="5" t="str">
        <f>IF(ISBLANK(C359),"",RANK(C359,C$2:C$367,0)+COUNTIF(C$2:C359,C359)-1)</f>
        <v/>
      </c>
    </row>
    <row r="360" spans="1:5" x14ac:dyDescent="0.3">
      <c r="A360" s="5"/>
      <c r="B360" s="5"/>
      <c r="C360" s="7"/>
      <c r="D360" s="5"/>
      <c r="E360" s="5" t="str">
        <f>IF(ISBLANK(C360),"",RANK(C360,C$2:C$367,0)+COUNTIF(C$2:C360,C360)-1)</f>
        <v/>
      </c>
    </row>
    <row r="361" spans="1:5" x14ac:dyDescent="0.3">
      <c r="A361" s="5"/>
      <c r="B361" s="5"/>
      <c r="C361" s="7"/>
      <c r="D361" s="5"/>
      <c r="E361" s="5" t="str">
        <f>IF(ISBLANK(C361),"",RANK(C361,C$2:C$367,0)+COUNTIF(C$2:C361,C361)-1)</f>
        <v/>
      </c>
    </row>
    <row r="362" spans="1:5" x14ac:dyDescent="0.3">
      <c r="A362" s="5"/>
      <c r="B362" s="5"/>
      <c r="C362" s="7"/>
      <c r="D362" s="5"/>
      <c r="E362" s="5" t="str">
        <f>IF(ISBLANK(C362),"",RANK(C362,C$2:C$367,0)+COUNTIF(C$2:C362,C362)-1)</f>
        <v/>
      </c>
    </row>
    <row r="363" spans="1:5" x14ac:dyDescent="0.3">
      <c r="A363" s="5"/>
      <c r="B363" s="5"/>
      <c r="C363" s="7"/>
      <c r="D363" s="5"/>
      <c r="E363" s="5" t="str">
        <f>IF(ISBLANK(C363),"",RANK(C363,C$2:C$367,0)+COUNTIF(C$2:C363,C363)-1)</f>
        <v/>
      </c>
    </row>
    <row r="364" spans="1:5" x14ac:dyDescent="0.3">
      <c r="A364" s="5"/>
      <c r="B364" s="5"/>
      <c r="C364" s="7"/>
      <c r="D364" s="5"/>
      <c r="E364" s="5" t="str">
        <f>IF(ISBLANK(C364),"",RANK(C364,C$2:C$367,0)+COUNTIF(C$2:C364,C364)-1)</f>
        <v/>
      </c>
    </row>
    <row r="365" spans="1:5" x14ac:dyDescent="0.3">
      <c r="A365" s="5"/>
      <c r="B365" s="5"/>
      <c r="C365" s="7"/>
      <c r="D365" s="5"/>
      <c r="E365" s="5" t="str">
        <f>IF(ISBLANK(C365),"",RANK(C365,C$2:C$367,0)+COUNTIF(C$2:C365,C365)-1)</f>
        <v/>
      </c>
    </row>
    <row r="366" spans="1:5" x14ac:dyDescent="0.3">
      <c r="A366" s="5"/>
      <c r="B366" s="5"/>
      <c r="C366" s="7"/>
      <c r="D366" s="5"/>
      <c r="E366" s="5" t="str">
        <f>IF(ISBLANK(C366),"",RANK(C366,C$2:C$367,0)+COUNTIF(C$2:C366,C366)-1)</f>
        <v/>
      </c>
    </row>
    <row r="367" spans="1:5" x14ac:dyDescent="0.3">
      <c r="A367" s="5"/>
      <c r="B367" s="5"/>
      <c r="C367" s="7"/>
      <c r="D367" s="5"/>
      <c r="E367" s="5" t="str">
        <f>IF(ISBLANK(C367),"",RANK(C367,C$2:C$367,0)+COUNTIF(C$2:C367,C367)-1)</f>
        <v/>
      </c>
    </row>
    <row r="368" spans="1:5" x14ac:dyDescent="0.3">
      <c r="E3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Design_Value</vt:lpstr>
      <vt:lpstr>Daily_Year1</vt:lpstr>
      <vt:lpstr>Daily_Year2</vt:lpstr>
      <vt:lpstr>Daily_Year3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Wells, Benjamin</dc:creator>
  <cp:lastModifiedBy>Wells, Benjamin</cp:lastModifiedBy>
  <dcterms:created xsi:type="dcterms:W3CDTF">2015-06-05T18:17:20Z</dcterms:created>
  <dcterms:modified xsi:type="dcterms:W3CDTF">2026-03-05T13:35:59Z</dcterms:modified>
</cp:coreProperties>
</file>